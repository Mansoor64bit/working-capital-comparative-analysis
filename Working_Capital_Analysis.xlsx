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C6C36F-592C-4991-BC33-F50D96DEBD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ve Summary" sheetId="1" r:id="rId1"/>
    <sheet name="IT  Raw Data" sheetId="6" r:id="rId2"/>
    <sheet name="Automobile Raw Data" sheetId="7" r:id="rId3"/>
    <sheet name="IT Sector Analysis" sheetId="2" r:id="rId4"/>
    <sheet name="Auto Sector Analysis" sheetId="3" r:id="rId5"/>
    <sheet name="Sector Comparison" sheetId="4" r:id="rId6"/>
    <sheet name="Statistical Analysi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" l="1"/>
  <c r="D20" i="1"/>
  <c r="D18" i="1"/>
  <c r="C20" i="1"/>
  <c r="C19" i="1"/>
  <c r="C18" i="1"/>
  <c r="B20" i="1"/>
  <c r="B19" i="1"/>
  <c r="B18" i="1"/>
  <c r="D21" i="4"/>
  <c r="D13" i="4"/>
  <c r="D14" i="4"/>
  <c r="D15" i="4"/>
  <c r="D16" i="4"/>
  <c r="D17" i="4"/>
  <c r="C63" i="5"/>
  <c r="D63" i="5"/>
  <c r="E63" i="5"/>
  <c r="F63" i="5"/>
  <c r="C62" i="5"/>
  <c r="D62" i="5"/>
  <c r="E62" i="5"/>
  <c r="F62" i="5"/>
  <c r="C61" i="5"/>
  <c r="D61" i="5"/>
  <c r="E61" i="5"/>
  <c r="F61" i="5"/>
  <c r="C60" i="5"/>
  <c r="D60" i="5"/>
  <c r="E60" i="5"/>
  <c r="F60" i="5"/>
  <c r="C59" i="5"/>
  <c r="D59" i="5"/>
  <c r="E59" i="5"/>
  <c r="F59" i="5"/>
  <c r="C58" i="5"/>
  <c r="D58" i="5"/>
  <c r="E58" i="5"/>
  <c r="F58" i="5"/>
  <c r="G63" i="5"/>
  <c r="G62" i="5"/>
  <c r="G61" i="5"/>
  <c r="G60" i="5"/>
  <c r="G59" i="5"/>
  <c r="G58" i="5"/>
  <c r="B63" i="5"/>
  <c r="B62" i="5"/>
  <c r="B61" i="5"/>
  <c r="B60" i="5"/>
  <c r="B59" i="5"/>
  <c r="B58" i="5"/>
  <c r="C53" i="5"/>
  <c r="D53" i="5"/>
  <c r="E53" i="5"/>
  <c r="F53" i="5"/>
  <c r="C52" i="5"/>
  <c r="D52" i="5"/>
  <c r="E52" i="5"/>
  <c r="F52" i="5"/>
  <c r="C51" i="5"/>
  <c r="D51" i="5"/>
  <c r="E51" i="5"/>
  <c r="F51" i="5"/>
  <c r="C50" i="5"/>
  <c r="D50" i="5"/>
  <c r="E50" i="5"/>
  <c r="F50" i="5"/>
  <c r="C49" i="5"/>
  <c r="D49" i="5"/>
  <c r="E49" i="5"/>
  <c r="F49" i="5"/>
  <c r="C48" i="5"/>
  <c r="D48" i="5"/>
  <c r="E48" i="5"/>
  <c r="F48" i="5"/>
  <c r="G53" i="5"/>
  <c r="G52" i="5"/>
  <c r="G51" i="5"/>
  <c r="G50" i="5"/>
  <c r="G49" i="5"/>
  <c r="G48" i="5"/>
  <c r="B53" i="5"/>
  <c r="B52" i="5"/>
  <c r="B51" i="5"/>
  <c r="B50" i="5"/>
  <c r="B49" i="5"/>
  <c r="B48" i="5"/>
  <c r="C43" i="5"/>
  <c r="D43" i="5"/>
  <c r="E43" i="5"/>
  <c r="F43" i="5"/>
  <c r="C42" i="5"/>
  <c r="D42" i="5"/>
  <c r="E42" i="5"/>
  <c r="F42" i="5"/>
  <c r="C41" i="5"/>
  <c r="D41" i="5"/>
  <c r="E41" i="5"/>
  <c r="F41" i="5"/>
  <c r="C40" i="5"/>
  <c r="D40" i="5"/>
  <c r="E40" i="5"/>
  <c r="F40" i="5"/>
  <c r="C39" i="5"/>
  <c r="D39" i="5"/>
  <c r="E39" i="5"/>
  <c r="F39" i="5"/>
  <c r="C38" i="5"/>
  <c r="D38" i="5"/>
  <c r="E38" i="5"/>
  <c r="F38" i="5"/>
  <c r="G38" i="5"/>
  <c r="G39" i="5"/>
  <c r="G40" i="5"/>
  <c r="G41" i="5"/>
  <c r="G42" i="5"/>
  <c r="G43" i="5"/>
  <c r="B43" i="5"/>
  <c r="B42" i="5"/>
  <c r="B41" i="5"/>
  <c r="B40" i="5"/>
  <c r="B39" i="5"/>
  <c r="B38" i="5"/>
  <c r="C30" i="5"/>
  <c r="D30" i="5"/>
  <c r="E30" i="5"/>
  <c r="F30" i="5"/>
  <c r="C29" i="5"/>
  <c r="D29" i="5"/>
  <c r="E29" i="5"/>
  <c r="F29" i="5"/>
  <c r="C28" i="5"/>
  <c r="D28" i="5"/>
  <c r="E28" i="5"/>
  <c r="F28" i="5"/>
  <c r="C27" i="5"/>
  <c r="D27" i="5"/>
  <c r="E27" i="5"/>
  <c r="F27" i="5"/>
  <c r="C26" i="5"/>
  <c r="D26" i="5"/>
  <c r="E26" i="5"/>
  <c r="F26" i="5"/>
  <c r="C25" i="5"/>
  <c r="D25" i="5"/>
  <c r="E25" i="5"/>
  <c r="F25" i="5"/>
  <c r="G30" i="5"/>
  <c r="G29" i="5"/>
  <c r="G28" i="5"/>
  <c r="G27" i="5"/>
  <c r="G26" i="5"/>
  <c r="G25" i="5"/>
  <c r="B30" i="5"/>
  <c r="B29" i="5"/>
  <c r="B28" i="5"/>
  <c r="B27" i="5"/>
  <c r="B26" i="5"/>
  <c r="B25" i="5"/>
  <c r="C20" i="5"/>
  <c r="D20" i="5"/>
  <c r="E20" i="5"/>
  <c r="F20" i="5"/>
  <c r="C19" i="5"/>
  <c r="D19" i="5"/>
  <c r="E19" i="5"/>
  <c r="F19" i="5"/>
  <c r="C18" i="5"/>
  <c r="D18" i="5"/>
  <c r="E18" i="5"/>
  <c r="F18" i="5"/>
  <c r="C17" i="5"/>
  <c r="D17" i="5"/>
  <c r="E17" i="5"/>
  <c r="F17" i="5"/>
  <c r="G20" i="5"/>
  <c r="G19" i="5"/>
  <c r="G18" i="5"/>
  <c r="G17" i="5"/>
  <c r="G16" i="5"/>
  <c r="G15" i="5"/>
  <c r="B20" i="5"/>
  <c r="B19" i="5"/>
  <c r="B18" i="5"/>
  <c r="B17" i="5"/>
  <c r="C16" i="5"/>
  <c r="D16" i="5"/>
  <c r="E16" i="5"/>
  <c r="F16" i="5"/>
  <c r="B16" i="5"/>
  <c r="C15" i="5"/>
  <c r="D15" i="5"/>
  <c r="E15" i="5"/>
  <c r="F15" i="5"/>
  <c r="B15" i="5"/>
  <c r="G10" i="5"/>
  <c r="G9" i="5"/>
  <c r="G8" i="5"/>
  <c r="G7" i="5"/>
  <c r="G6" i="5"/>
  <c r="C9" i="5"/>
  <c r="D9" i="5"/>
  <c r="E9" i="5"/>
  <c r="F9" i="5"/>
  <c r="C8" i="5"/>
  <c r="D8" i="5"/>
  <c r="E8" i="5"/>
  <c r="F8" i="5"/>
  <c r="C7" i="5"/>
  <c r="D7" i="5"/>
  <c r="E7" i="5"/>
  <c r="F7" i="5"/>
  <c r="C6" i="5"/>
  <c r="D6" i="5"/>
  <c r="E6" i="5"/>
  <c r="F6" i="5"/>
  <c r="G5" i="5"/>
  <c r="C5" i="5"/>
  <c r="D5" i="5"/>
  <c r="E5" i="5"/>
  <c r="F5" i="5"/>
  <c r="B10" i="5"/>
  <c r="B9" i="5"/>
  <c r="B8" i="5"/>
  <c r="B7" i="5"/>
  <c r="B6" i="5"/>
  <c r="B5" i="5"/>
  <c r="D30" i="4"/>
  <c r="D31" i="4"/>
  <c r="D32" i="4"/>
  <c r="D33" i="4"/>
  <c r="D29" i="4"/>
  <c r="D22" i="4"/>
  <c r="D23" i="4"/>
  <c r="D24" i="4"/>
  <c r="D25" i="4"/>
  <c r="D6" i="4"/>
  <c r="D7" i="4"/>
  <c r="C7" i="4"/>
  <c r="C6" i="4"/>
  <c r="C5" i="4"/>
  <c r="B7" i="4"/>
  <c r="B6" i="4"/>
  <c r="B5" i="4"/>
  <c r="D5" i="4" s="1"/>
  <c r="G41" i="7"/>
  <c r="G45" i="7" s="1"/>
  <c r="F41" i="7"/>
  <c r="F45" i="7" s="1"/>
  <c r="E41" i="7"/>
  <c r="E45" i="7" s="1"/>
  <c r="D41" i="7"/>
  <c r="D45" i="7" s="1"/>
  <c r="C41" i="7"/>
  <c r="C45" i="7" s="1"/>
  <c r="G36" i="7"/>
  <c r="C36" i="7"/>
  <c r="G32" i="7"/>
  <c r="F32" i="7"/>
  <c r="F36" i="7" s="1"/>
  <c r="E32" i="7"/>
  <c r="E36" i="7" s="1"/>
  <c r="D32" i="7"/>
  <c r="D36" i="7" s="1"/>
  <c r="C32" i="7"/>
  <c r="E27" i="7"/>
  <c r="D27" i="7"/>
  <c r="G23" i="7"/>
  <c r="G27" i="7" s="1"/>
  <c r="F23" i="7"/>
  <c r="F27" i="7" s="1"/>
  <c r="E23" i="7"/>
  <c r="D23" i="7"/>
  <c r="C23" i="7"/>
  <c r="C27" i="7" s="1"/>
  <c r="G18" i="7"/>
  <c r="F18" i="7"/>
  <c r="D18" i="7"/>
  <c r="C18" i="7"/>
  <c r="G14" i="7"/>
  <c r="F14" i="7"/>
  <c r="E14" i="7"/>
  <c r="E18" i="7" s="1"/>
  <c r="D14" i="7"/>
  <c r="C14" i="7"/>
  <c r="G9" i="7"/>
  <c r="F9" i="7"/>
  <c r="E9" i="7"/>
  <c r="G5" i="7"/>
  <c r="F5" i="7"/>
  <c r="E5" i="7"/>
  <c r="D5" i="7"/>
  <c r="D9" i="7" s="1"/>
  <c r="C5" i="7"/>
  <c r="C9" i="7" s="1"/>
  <c r="G45" i="6"/>
  <c r="F45" i="6"/>
  <c r="E45" i="6"/>
  <c r="G41" i="6"/>
  <c r="F41" i="6"/>
  <c r="E41" i="6"/>
  <c r="D41" i="6"/>
  <c r="D45" i="6" s="1"/>
  <c r="C41" i="6"/>
  <c r="C45" i="6" s="1"/>
  <c r="G36" i="6"/>
  <c r="F36" i="6"/>
  <c r="E36" i="6"/>
  <c r="G32" i="6"/>
  <c r="F32" i="6"/>
  <c r="E32" i="6"/>
  <c r="D32" i="6"/>
  <c r="D36" i="6" s="1"/>
  <c r="C32" i="6"/>
  <c r="C36" i="6" s="1"/>
  <c r="G27" i="6"/>
  <c r="C27" i="6"/>
  <c r="G23" i="6"/>
  <c r="F23" i="6"/>
  <c r="F27" i="6" s="1"/>
  <c r="E23" i="6"/>
  <c r="E27" i="6" s="1"/>
  <c r="D23" i="6"/>
  <c r="D27" i="6" s="1"/>
  <c r="C23" i="6"/>
  <c r="E18" i="6"/>
  <c r="D18" i="6"/>
  <c r="C18" i="6"/>
  <c r="G14" i="6"/>
  <c r="G18" i="6" s="1"/>
  <c r="F14" i="6"/>
  <c r="F18" i="6" s="1"/>
  <c r="E14" i="6"/>
  <c r="D14" i="6"/>
  <c r="C14" i="6"/>
  <c r="G9" i="6"/>
  <c r="F9" i="6"/>
  <c r="E9" i="6"/>
  <c r="D9" i="6"/>
  <c r="C9" i="6"/>
  <c r="G5" i="6"/>
  <c r="F5" i="6"/>
  <c r="E5" i="6"/>
  <c r="D5" i="6"/>
  <c r="C5" i="6"/>
  <c r="F28" i="3"/>
  <c r="E28" i="3"/>
  <c r="D28" i="3"/>
  <c r="C28" i="3"/>
  <c r="B28" i="3"/>
  <c r="G27" i="3"/>
  <c r="G26" i="3"/>
  <c r="G25" i="3"/>
  <c r="G24" i="3"/>
  <c r="G23" i="3"/>
  <c r="G28" i="3" s="1"/>
  <c r="F19" i="3"/>
  <c r="E19" i="3"/>
  <c r="D19" i="3"/>
  <c r="C19" i="3"/>
  <c r="B19" i="3"/>
  <c r="G18" i="3"/>
  <c r="G17" i="3"/>
  <c r="G16" i="3"/>
  <c r="G15" i="3"/>
  <c r="G14" i="3"/>
  <c r="G19" i="3" s="1"/>
  <c r="F10" i="3"/>
  <c r="E10" i="3"/>
  <c r="D10" i="3"/>
  <c r="C10" i="3"/>
  <c r="B10" i="3"/>
  <c r="G9" i="3"/>
  <c r="G8" i="3"/>
  <c r="G7" i="3"/>
  <c r="G6" i="3"/>
  <c r="G5" i="3"/>
  <c r="G10" i="3" s="1"/>
  <c r="F28" i="2"/>
  <c r="E28" i="2"/>
  <c r="D28" i="2"/>
  <c r="C28" i="2"/>
  <c r="B28" i="2"/>
  <c r="G27" i="2"/>
  <c r="G26" i="2"/>
  <c r="G25" i="2"/>
  <c r="G24" i="2"/>
  <c r="G28" i="2" s="1"/>
  <c r="G23" i="2"/>
  <c r="F19" i="2"/>
  <c r="E19" i="2"/>
  <c r="D19" i="2"/>
  <c r="C19" i="2"/>
  <c r="B19" i="2"/>
  <c r="G18" i="2"/>
  <c r="G17" i="2"/>
  <c r="G16" i="2"/>
  <c r="G15" i="2"/>
  <c r="G14" i="2"/>
  <c r="G19" i="2" s="1"/>
  <c r="F10" i="2"/>
  <c r="E10" i="2"/>
  <c r="D10" i="2"/>
  <c r="C10" i="2"/>
  <c r="B10" i="2"/>
  <c r="G9" i="2"/>
  <c r="G8" i="2"/>
  <c r="G7" i="2"/>
  <c r="G6" i="2"/>
  <c r="G5" i="2"/>
  <c r="G10" i="2" s="1"/>
</calcChain>
</file>

<file path=xl/sharedStrings.xml><?xml version="1.0" encoding="utf-8"?>
<sst xmlns="http://schemas.openxmlformats.org/spreadsheetml/2006/main" count="321" uniqueCount="69">
  <si>
    <t>WORKING CAPITAL MANAGEMENT ANALYSIS</t>
  </si>
  <si>
    <t>Comparative Study: IT vs Manufacturing Automobile Sector</t>
  </si>
  <si>
    <t>Study Period: FY 2021 - FY 2025 (5 Years)</t>
  </si>
  <si>
    <t>KEY FINDINGS - IT SECTOR</t>
  </si>
  <si>
    <t>Average Working Capital Turnover Ratio</t>
  </si>
  <si>
    <t>Average Inventory Turnover Ratio</t>
  </si>
  <si>
    <t>Average Debtors Turnover Ratio</t>
  </si>
  <si>
    <t>KEY FINDINGS - AUTOMOBILE SECTOR</t>
  </si>
  <si>
    <t>COMPARATIVE ANALYSIS</t>
  </si>
  <si>
    <t>Ratio</t>
  </si>
  <si>
    <t>IT Sector</t>
  </si>
  <si>
    <t>Auto Sector</t>
  </si>
  <si>
    <t>Better Sector</t>
  </si>
  <si>
    <t>WCTR</t>
  </si>
  <si>
    <t>ITR</t>
  </si>
  <si>
    <t>DTR</t>
  </si>
  <si>
    <t>IT SECTOR - WORKING CAPITAL ANALYSIS</t>
  </si>
  <si>
    <t>1. WORKING CAPITAL TURNOVER RATIO</t>
  </si>
  <si>
    <t>Company</t>
  </si>
  <si>
    <t>FY 2025</t>
  </si>
  <si>
    <t>FY 2024</t>
  </si>
  <si>
    <t>FY 2023</t>
  </si>
  <si>
    <t>FY 2022</t>
  </si>
  <si>
    <t>FY 2021</t>
  </si>
  <si>
    <t>5-Year Avg</t>
  </si>
  <si>
    <t>TCS</t>
  </si>
  <si>
    <t>Infosys</t>
  </si>
  <si>
    <t>HCL</t>
  </si>
  <si>
    <t>Wipro</t>
  </si>
  <si>
    <t>Tech Mahindra</t>
  </si>
  <si>
    <t>Sector Average</t>
  </si>
  <si>
    <t>2. INVENTORY TURNOVER RATIO</t>
  </si>
  <si>
    <t>3. DEBTORS TURNOVER RATIO</t>
  </si>
  <si>
    <t>AUTOMOBILE SECTOR - WORKING CAPITAL ANALYSIS</t>
  </si>
  <si>
    <t>Maruti Suzuki</t>
  </si>
  <si>
    <t>M &amp; M</t>
  </si>
  <si>
    <t>Bajaj Auto</t>
  </si>
  <si>
    <t>Eicher Motors</t>
  </si>
  <si>
    <t>TVS Motor Co</t>
  </si>
  <si>
    <t>SECTOR-WISE COMPARATIVE ANALYSIS</t>
  </si>
  <si>
    <t>1. AVERAGE RATIOS COMPARISON (5-Year Average)</t>
  </si>
  <si>
    <t>Automobile Sector</t>
  </si>
  <si>
    <t>Better Performance</t>
  </si>
  <si>
    <t>Working Capital Turnover Ratio</t>
  </si>
  <si>
    <t>Inventory Turnover Ratio</t>
  </si>
  <si>
    <t>Debtors Turnover Ratio</t>
  </si>
  <si>
    <t>2. YEAR-WISE TREND COMPARISON</t>
  </si>
  <si>
    <t>Working Capital Turnover Ratio - Year-wise</t>
  </si>
  <si>
    <t>Year</t>
  </si>
  <si>
    <t>IT Sector Avg</t>
  </si>
  <si>
    <t>Auto Sector Avg</t>
  </si>
  <si>
    <t>Inventory Turnover Ratio - Year-wise</t>
  </si>
  <si>
    <t>Debtors Turnover Ratio - Year-wise</t>
  </si>
  <si>
    <t>DESCRIPTIVE STATISTICS - IT SECTOR</t>
  </si>
  <si>
    <t>Statistical Measure</t>
  </si>
  <si>
    <t>Sector</t>
  </si>
  <si>
    <t>Mean</t>
  </si>
  <si>
    <t>Median</t>
  </si>
  <si>
    <t>Std Deviation</t>
  </si>
  <si>
    <t>Min</t>
  </si>
  <si>
    <t>Max</t>
  </si>
  <si>
    <t>Range</t>
  </si>
  <si>
    <t>DESCRIPTIVE STATISTICS - AUTOMOBILE SECTOR</t>
  </si>
  <si>
    <t>Total Current Liabilities</t>
  </si>
  <si>
    <t>Total Current Assets</t>
  </si>
  <si>
    <t>Working Capital</t>
  </si>
  <si>
    <t>Net Sales</t>
  </si>
  <si>
    <t>--</t>
  </si>
  <si>
    <t>Mahindra &amp;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</si>
</sst>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color rgb="FF0000FF"/>
      <name val="Arial"/>
      <family val="2"/>
    </font>
    <font>
      <b/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E7E6E6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2F2F2"/>
      </patternFill>
    </fill>
    <fill>
      <patternFill patternType="solid">
        <fgColor theme="3" tint="0.59999389629810485"/>
        <bgColor rgb="FF66669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83C3E"/>
      </left>
      <right style="medium">
        <color rgb="FF383C3E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383C3E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9" fillId="4" borderId="1" xfId="0" applyFont="1" applyFill="1" applyBorder="1" applyAlignment="1">
      <alignment wrapText="1"/>
    </xf>
    <xf numFmtId="4" fontId="10" fillId="5" borderId="1" xfId="0" applyNumberFormat="1" applyFont="1" applyFill="1" applyBorder="1" applyAlignment="1">
      <alignment wrapText="1"/>
    </xf>
    <xf numFmtId="0" fontId="9" fillId="0" borderId="1" xfId="0" applyFont="1" applyBorder="1"/>
    <xf numFmtId="0" fontId="9" fillId="5" borderId="1" xfId="0" applyFont="1" applyFill="1" applyBorder="1" applyAlignment="1">
      <alignment wrapText="1"/>
    </xf>
    <xf numFmtId="2" fontId="9" fillId="5" borderId="1" xfId="0" applyNumberFormat="1" applyFont="1" applyFill="1" applyBorder="1" applyAlignment="1">
      <alignment wrapText="1"/>
    </xf>
    <xf numFmtId="4" fontId="11" fillId="5" borderId="1" xfId="0" applyNumberFormat="1" applyFont="1" applyFill="1" applyBorder="1"/>
    <xf numFmtId="4" fontId="11" fillId="5" borderId="4" xfId="0" applyNumberFormat="1" applyFont="1" applyFill="1" applyBorder="1"/>
    <xf numFmtId="0" fontId="8" fillId="5" borderId="1" xfId="0" quotePrefix="1" applyFont="1" applyFill="1" applyBorder="1"/>
    <xf numFmtId="0" fontId="8" fillId="5" borderId="4" xfId="0" quotePrefix="1" applyFont="1" applyFill="1" applyBorder="1"/>
    <xf numFmtId="0" fontId="8" fillId="5" borderId="5" xfId="0" applyFont="1" applyFill="1" applyBorder="1" applyAlignment="1">
      <alignment horizontal="right" vertical="center" wrapText="1"/>
    </xf>
    <xf numFmtId="0" fontId="8" fillId="0" borderId="9" xfId="0" applyFont="1" applyBorder="1"/>
    <xf numFmtId="0" fontId="8" fillId="5" borderId="10" xfId="0" applyFont="1" applyFill="1" applyBorder="1" applyAlignment="1">
      <alignment vertical="center" wrapText="1"/>
    </xf>
    <xf numFmtId="4" fontId="11" fillId="5" borderId="9" xfId="0" applyNumberFormat="1" applyFont="1" applyFill="1" applyBorder="1" applyAlignment="1">
      <alignment horizontal="right" vertical="center" wrapText="1"/>
    </xf>
    <xf numFmtId="0" fontId="9" fillId="0" borderId="9" xfId="0" applyFont="1" applyBorder="1"/>
    <xf numFmtId="0" fontId="8" fillId="5" borderId="11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4" fontId="8" fillId="5" borderId="9" xfId="0" applyNumberFormat="1" applyFont="1" applyFill="1" applyBorder="1" applyAlignment="1">
      <alignment horizontal="right" vertical="center" wrapText="1"/>
    </xf>
    <xf numFmtId="0" fontId="8" fillId="5" borderId="9" xfId="0" applyFont="1" applyFill="1" applyBorder="1" applyAlignment="1">
      <alignment horizontal="right" vertical="center" wrapText="1"/>
    </xf>
    <xf numFmtId="0" fontId="9" fillId="4" borderId="9" xfId="0" applyFont="1" applyFill="1" applyBorder="1" applyAlignment="1">
      <alignment wrapText="1"/>
    </xf>
    <xf numFmtId="0" fontId="8" fillId="6" borderId="1" xfId="0" applyFont="1" applyFill="1" applyBorder="1"/>
    <xf numFmtId="4" fontId="11" fillId="6" borderId="1" xfId="0" applyNumberFormat="1" applyFont="1" applyFill="1" applyBorder="1"/>
    <xf numFmtId="0" fontId="9" fillId="5" borderId="9" xfId="0" applyFont="1" applyFill="1" applyBorder="1"/>
    <xf numFmtId="2" fontId="8" fillId="5" borderId="9" xfId="0" applyNumberFormat="1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wrapText="1"/>
    </xf>
    <xf numFmtId="16" fontId="8" fillId="8" borderId="1" xfId="0" applyNumberFormat="1" applyFont="1" applyFill="1" applyBorder="1" applyAlignment="1">
      <alignment wrapText="1"/>
    </xf>
    <xf numFmtId="16" fontId="8" fillId="9" borderId="1" xfId="0" applyNumberFormat="1" applyFont="1" applyFill="1" applyBorder="1" applyAlignment="1">
      <alignment wrapText="1"/>
    </xf>
    <xf numFmtId="0" fontId="8" fillId="10" borderId="9" xfId="0" applyFont="1" applyFill="1" applyBorder="1"/>
    <xf numFmtId="16" fontId="8" fillId="10" borderId="9" xfId="0" applyNumberFormat="1" applyFont="1" applyFill="1" applyBorder="1" applyAlignment="1">
      <alignment wrapText="1"/>
    </xf>
    <xf numFmtId="16" fontId="8" fillId="11" borderId="9" xfId="0" applyNumberFormat="1" applyFont="1" applyFill="1" applyBorder="1" applyAlignment="1">
      <alignment wrapText="1"/>
    </xf>
    <xf numFmtId="16" fontId="8" fillId="12" borderId="1" xfId="0" applyNumberFormat="1" applyFont="1" applyFill="1" applyBorder="1" applyAlignment="1">
      <alignment wrapText="1"/>
    </xf>
    <xf numFmtId="16" fontId="8" fillId="13" borderId="1" xfId="0" applyNumberFormat="1" applyFont="1" applyFill="1" applyBorder="1" applyAlignment="1">
      <alignment wrapText="1"/>
    </xf>
    <xf numFmtId="16" fontId="8" fillId="16" borderId="9" xfId="0" applyNumberFormat="1" applyFont="1" applyFill="1" applyBorder="1" applyAlignment="1">
      <alignment wrapText="1"/>
    </xf>
    <xf numFmtId="0" fontId="6" fillId="2" borderId="9" xfId="0" applyFont="1" applyFill="1" applyBorder="1" applyAlignment="1">
      <alignment horizontal="center"/>
    </xf>
    <xf numFmtId="0" fontId="4" fillId="0" borderId="9" xfId="0" applyFont="1" applyBorder="1"/>
    <xf numFmtId="2" fontId="5" fillId="0" borderId="9" xfId="0" applyNumberFormat="1" applyFont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" fillId="0" borderId="9" xfId="0" applyFont="1" applyBorder="1"/>
    <xf numFmtId="2" fontId="2" fillId="3" borderId="9" xfId="0" applyNumberFormat="1" applyFont="1" applyFill="1" applyBorder="1" applyAlignment="1">
      <alignment horizontal="center"/>
    </xf>
    <xf numFmtId="0" fontId="1" fillId="0" borderId="9" xfId="0" applyFont="1" applyBorder="1"/>
    <xf numFmtId="2" fontId="14" fillId="0" borderId="9" xfId="0" applyNumberFormat="1" applyFont="1" applyBorder="1" applyAlignment="1">
      <alignment horizontal="center"/>
    </xf>
    <xf numFmtId="0" fontId="13" fillId="0" borderId="9" xfId="0" applyFont="1" applyBorder="1"/>
    <xf numFmtId="2" fontId="13" fillId="3" borderId="9" xfId="0" applyNumberFormat="1" applyFont="1" applyFill="1" applyBorder="1" applyAlignment="1">
      <alignment horizontal="center"/>
    </xf>
    <xf numFmtId="4" fontId="11" fillId="0" borderId="9" xfId="0" applyNumberFormat="1" applyFont="1" applyBorder="1"/>
    <xf numFmtId="4" fontId="8" fillId="0" borderId="9" xfId="0" applyNumberFormat="1" applyFont="1" applyBorder="1"/>
    <xf numFmtId="0" fontId="14" fillId="0" borderId="9" xfId="0" applyFont="1" applyBorder="1"/>
    <xf numFmtId="2" fontId="8" fillId="0" borderId="9" xfId="0" applyNumberFormat="1" applyFont="1" applyBorder="1" applyAlignment="1">
      <alignment horizontal="center"/>
    </xf>
    <xf numFmtId="2" fontId="12" fillId="0" borderId="9" xfId="0" applyNumberFormat="1" applyFont="1" applyBorder="1"/>
    <xf numFmtId="2" fontId="5" fillId="13" borderId="9" xfId="0" applyNumberFormat="1" applyFont="1" applyFill="1" applyBorder="1" applyAlignment="1">
      <alignment horizontal="center"/>
    </xf>
    <xf numFmtId="0" fontId="12" fillId="0" borderId="0" xfId="0" applyFont="1"/>
    <xf numFmtId="0" fontId="15" fillId="0" borderId="0" xfId="0" applyFont="1"/>
    <xf numFmtId="2" fontId="15" fillId="0" borderId="9" xfId="0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8" fillId="13" borderId="2" xfId="0" applyFont="1" applyFill="1" applyBorder="1"/>
    <xf numFmtId="0" fontId="9" fillId="4" borderId="12" xfId="0" applyFont="1" applyFill="1" applyBorder="1" applyAlignment="1">
      <alignment wrapText="1"/>
    </xf>
    <xf numFmtId="0" fontId="9" fillId="0" borderId="12" xfId="0" applyFont="1" applyBorder="1"/>
    <xf numFmtId="0" fontId="9" fillId="0" borderId="13" xfId="0" applyFont="1" applyBorder="1"/>
    <xf numFmtId="2" fontId="8" fillId="5" borderId="1" xfId="0" applyNumberFormat="1" applyFont="1" applyFill="1" applyBorder="1"/>
    <xf numFmtId="0" fontId="8" fillId="14" borderId="1" xfId="0" applyFont="1" applyFill="1" applyBorder="1"/>
    <xf numFmtId="16" fontId="8" fillId="14" borderId="1" xfId="0" applyNumberFormat="1" applyFont="1" applyFill="1" applyBorder="1" applyAlignment="1">
      <alignment wrapText="1"/>
    </xf>
    <xf numFmtId="0" fontId="8" fillId="0" borderId="1" xfId="0" applyFont="1" applyBorder="1"/>
    <xf numFmtId="4" fontId="11" fillId="0" borderId="1" xfId="0" applyNumberFormat="1" applyFont="1" applyBorder="1"/>
    <xf numFmtId="2" fontId="8" fillId="0" borderId="1" xfId="0" applyNumberFormat="1" applyFont="1" applyBorder="1"/>
    <xf numFmtId="0" fontId="8" fillId="15" borderId="1" xfId="0" applyFont="1" applyFill="1" applyBorder="1"/>
    <xf numFmtId="16" fontId="8" fillId="15" borderId="1" xfId="0" applyNumberFormat="1" applyFont="1" applyFill="1" applyBorder="1" applyAlignment="1">
      <alignment wrapText="1"/>
    </xf>
    <xf numFmtId="0" fontId="8" fillId="11" borderId="9" xfId="0" applyFont="1" applyFill="1" applyBorder="1"/>
    <xf numFmtId="3" fontId="11" fillId="5" borderId="9" xfId="0" applyNumberFormat="1" applyFont="1" applyFill="1" applyBorder="1"/>
    <xf numFmtId="2" fontId="8" fillId="5" borderId="9" xfId="0" applyNumberFormat="1" applyFont="1" applyFill="1" applyBorder="1"/>
    <xf numFmtId="0" fontId="8" fillId="16" borderId="9" xfId="0" applyFont="1" applyFill="1" applyBorder="1"/>
    <xf numFmtId="4" fontId="10" fillId="5" borderId="1" xfId="0" applyNumberFormat="1" applyFont="1" applyFill="1" applyBorder="1"/>
    <xf numFmtId="0" fontId="8" fillId="9" borderId="2" xfId="0" applyFont="1" applyFill="1" applyBorder="1"/>
    <xf numFmtId="0" fontId="9" fillId="4" borderId="3" xfId="0" applyFont="1" applyFill="1" applyBorder="1" applyAlignment="1">
      <alignment wrapText="1"/>
    </xf>
    <xf numFmtId="0" fontId="9" fillId="0" borderId="3" xfId="0" applyFont="1" applyBorder="1"/>
    <xf numFmtId="0" fontId="9" fillId="0" borderId="6" xfId="0" applyFont="1" applyBorder="1"/>
    <xf numFmtId="2" fontId="8" fillId="5" borderId="7" xfId="0" applyNumberFormat="1" applyFont="1" applyFill="1" applyBorder="1"/>
    <xf numFmtId="2" fontId="8" fillId="5" borderId="8" xfId="0" applyNumberFormat="1" applyFont="1" applyFill="1" applyBorder="1"/>
    <xf numFmtId="3" fontId="11" fillId="0" borderId="9" xfId="0" applyNumberFormat="1" applyFont="1" applyBorder="1"/>
    <xf numFmtId="2" fontId="8" fillId="0" borderId="9" xfId="0" applyNumberFormat="1" applyFont="1" applyBorder="1"/>
    <xf numFmtId="0" fontId="8" fillId="12" borderId="2" xfId="0" applyFont="1" applyFill="1" applyBorder="1"/>
    <xf numFmtId="2" fontId="11" fillId="0" borderId="9" xfId="0" applyNumberFormat="1" applyFont="1" applyBorder="1"/>
    <xf numFmtId="2" fontId="11" fillId="3" borderId="9" xfId="0" applyNumberFormat="1" applyFont="1" applyFill="1" applyBorder="1"/>
    <xf numFmtId="0" fontId="12" fillId="0" borderId="9" xfId="0" applyFont="1" applyBorder="1"/>
    <xf numFmtId="0" fontId="8" fillId="13" borderId="9" xfId="0" applyFont="1" applyFill="1" applyBorder="1" applyAlignment="1">
      <alignment horizontal="center"/>
    </xf>
    <xf numFmtId="0" fontId="13" fillId="18" borderId="0" xfId="0" applyFont="1" applyFill="1"/>
    <xf numFmtId="0" fontId="13" fillId="17" borderId="0" xfId="0" applyFont="1" applyFill="1"/>
    <xf numFmtId="0" fontId="8" fillId="19" borderId="9" xfId="0" applyFont="1" applyFill="1" applyBorder="1" applyAlignment="1">
      <alignment horizontal="center"/>
    </xf>
    <xf numFmtId="0" fontId="11" fillId="17" borderId="0" xfId="0" applyFont="1" applyFill="1"/>
    <xf numFmtId="0" fontId="2" fillId="18" borderId="0" xfId="0" applyFont="1" applyFill="1"/>
    <xf numFmtId="0" fontId="12" fillId="17" borderId="0" xfId="0" applyFont="1" applyFill="1"/>
    <xf numFmtId="0" fontId="2" fillId="17" borderId="0" xfId="0" applyFont="1" applyFill="1"/>
    <xf numFmtId="0" fontId="13" fillId="8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115" zoomScaleNormal="115" workbookViewId="0">
      <selection activeCell="D10" sqref="D10"/>
    </sheetView>
  </sheetViews>
  <sheetFormatPr defaultColWidth="8.6640625" defaultRowHeight="15" x14ac:dyDescent="0.25"/>
  <cols>
    <col min="1" max="1" width="51.109375" style="52" bestFit="1" customWidth="1"/>
    <col min="2" max="2" width="10.5546875" style="52" bestFit="1" customWidth="1"/>
    <col min="3" max="3" width="13.6640625" style="52" bestFit="1" customWidth="1"/>
    <col min="4" max="4" width="21.21875" style="52" bestFit="1" customWidth="1"/>
    <col min="5" max="16384" width="8.6640625" style="52"/>
  </cols>
  <sheetData>
    <row r="1" spans="1:4" ht="19.5" customHeight="1" x14ac:dyDescent="0.3">
      <c r="A1" s="91" t="s">
        <v>0</v>
      </c>
      <c r="B1" s="91"/>
      <c r="C1" s="91"/>
      <c r="D1" s="91"/>
    </row>
    <row r="2" spans="1:4" ht="15" customHeight="1" x14ac:dyDescent="0.25">
      <c r="A2" s="92" t="s">
        <v>1</v>
      </c>
      <c r="B2" s="92"/>
      <c r="C2" s="92"/>
      <c r="D2" s="92"/>
    </row>
    <row r="4" spans="1:4" ht="15" customHeight="1" x14ac:dyDescent="0.3">
      <c r="A4" s="85" t="s">
        <v>2</v>
      </c>
    </row>
    <row r="6" spans="1:4" ht="17.25" customHeight="1" x14ac:dyDescent="0.3">
      <c r="A6" s="84" t="s">
        <v>3</v>
      </c>
    </row>
    <row r="7" spans="1:4" ht="15" customHeight="1" x14ac:dyDescent="0.25">
      <c r="A7" s="39" t="s">
        <v>4</v>
      </c>
      <c r="B7" s="45">
        <v>3.18</v>
      </c>
    </row>
    <row r="8" spans="1:4" ht="15" customHeight="1" x14ac:dyDescent="0.25">
      <c r="A8" s="39" t="s">
        <v>5</v>
      </c>
      <c r="B8" s="45">
        <v>2735.12</v>
      </c>
    </row>
    <row r="9" spans="1:4" ht="15" customHeight="1" x14ac:dyDescent="0.25">
      <c r="A9" s="39" t="s">
        <v>6</v>
      </c>
      <c r="B9" s="45">
        <v>5.18</v>
      </c>
    </row>
    <row r="11" spans="1:4" ht="17.25" customHeight="1" x14ac:dyDescent="0.3">
      <c r="A11" s="84" t="s">
        <v>7</v>
      </c>
    </row>
    <row r="12" spans="1:4" ht="15" customHeight="1" x14ac:dyDescent="0.25">
      <c r="A12" s="39" t="s">
        <v>4</v>
      </c>
      <c r="B12" s="45">
        <v>-12.8</v>
      </c>
    </row>
    <row r="13" spans="1:4" ht="15" customHeight="1" x14ac:dyDescent="0.25">
      <c r="A13" s="39" t="s">
        <v>5</v>
      </c>
      <c r="B13" s="45">
        <v>19.34</v>
      </c>
    </row>
    <row r="14" spans="1:4" ht="15" customHeight="1" x14ac:dyDescent="0.25">
      <c r="A14" s="39" t="s">
        <v>6</v>
      </c>
      <c r="B14" s="45">
        <v>25.56</v>
      </c>
    </row>
    <row r="16" spans="1:4" ht="17.25" customHeight="1" x14ac:dyDescent="0.3">
      <c r="A16" s="84" t="s">
        <v>8</v>
      </c>
    </row>
    <row r="17" spans="1:4" ht="15" customHeight="1" x14ac:dyDescent="0.3">
      <c r="A17" s="86" t="s">
        <v>9</v>
      </c>
      <c r="B17" s="86" t="s">
        <v>10</v>
      </c>
      <c r="C17" s="86" t="s">
        <v>11</v>
      </c>
      <c r="D17" s="86" t="s">
        <v>12</v>
      </c>
    </row>
    <row r="18" spans="1:4" ht="15" customHeight="1" x14ac:dyDescent="0.3">
      <c r="A18" s="11" t="s">
        <v>13</v>
      </c>
      <c r="B18" s="46">
        <f>'IT Sector Analysis'!G10</f>
        <v>3.1804113249366712</v>
      </c>
      <c r="C18" s="46">
        <f>'Auto Sector Analysis'!G10</f>
        <v>-12.796965808189725</v>
      </c>
      <c r="D18" s="83" t="str">
        <f>IF(B18&gt;C18,"IT Sector","Automobile Sector")</f>
        <v>IT Sector</v>
      </c>
    </row>
    <row r="19" spans="1:4" ht="15" customHeight="1" x14ac:dyDescent="0.3">
      <c r="A19" s="11" t="s">
        <v>14</v>
      </c>
      <c r="B19" s="46">
        <f>'IT Sector Analysis'!G19</f>
        <v>2735.12</v>
      </c>
      <c r="C19" s="46">
        <f>'Auto Sector Analysis'!G19</f>
        <v>19.337199999999999</v>
      </c>
      <c r="D19" s="83" t="str">
        <f t="shared" ref="D19:D20" si="0">IF(B19&gt;C19,"IT Sector","Automobile Sector")</f>
        <v>IT Sector</v>
      </c>
    </row>
    <row r="20" spans="1:4" ht="15" customHeight="1" x14ac:dyDescent="0.3">
      <c r="A20" s="11" t="s">
        <v>15</v>
      </c>
      <c r="B20" s="46">
        <f>'IT Sector Analysis'!G28</f>
        <v>5.1783999999999999</v>
      </c>
      <c r="C20" s="46">
        <f>'Auto Sector Analysis'!G28</f>
        <v>25.558799999999998</v>
      </c>
      <c r="D20" s="83" t="str">
        <f t="shared" si="0"/>
        <v>Automobile Sector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F645-5066-40DF-87FD-E9166C1620F3}">
  <dimension ref="B2:G45"/>
  <sheetViews>
    <sheetView topLeftCell="A20" zoomScale="115" zoomScaleNormal="115" workbookViewId="0">
      <selection activeCell="C36" sqref="C36"/>
    </sheetView>
  </sheetViews>
  <sheetFormatPr defaultRowHeight="15" x14ac:dyDescent="0.25"/>
  <cols>
    <col min="1" max="1" width="8.88671875" style="52"/>
    <col min="2" max="2" width="34.77734375" style="52" bestFit="1" customWidth="1"/>
    <col min="3" max="7" width="12.77734375" style="52" bestFit="1" customWidth="1"/>
    <col min="8" max="16384" width="8.88671875" style="52"/>
  </cols>
  <sheetData>
    <row r="2" spans="2:7" ht="15.6" x14ac:dyDescent="0.3">
      <c r="B2" s="24" t="s">
        <v>25</v>
      </c>
      <c r="C2" s="25">
        <v>46106</v>
      </c>
      <c r="D2" s="25">
        <v>46105</v>
      </c>
      <c r="E2" s="25">
        <v>46104</v>
      </c>
      <c r="F2" s="25">
        <v>46103</v>
      </c>
      <c r="G2" s="25">
        <v>46102</v>
      </c>
    </row>
    <row r="3" spans="2:7" ht="15.6" x14ac:dyDescent="0.3">
      <c r="B3" s="1" t="s">
        <v>63</v>
      </c>
      <c r="C3" s="2">
        <v>49182</v>
      </c>
      <c r="D3" s="2">
        <v>43061</v>
      </c>
      <c r="E3" s="2">
        <v>39324</v>
      </c>
      <c r="F3" s="2">
        <v>37901</v>
      </c>
      <c r="G3" s="2">
        <v>28525</v>
      </c>
    </row>
    <row r="4" spans="2:7" ht="15.6" x14ac:dyDescent="0.3">
      <c r="B4" s="1" t="s">
        <v>64</v>
      </c>
      <c r="C4" s="2">
        <v>103163</v>
      </c>
      <c r="D4" s="2">
        <v>94918</v>
      </c>
      <c r="E4" s="2">
        <v>92784</v>
      </c>
      <c r="F4" s="2">
        <v>94192</v>
      </c>
      <c r="G4" s="2">
        <v>83160</v>
      </c>
    </row>
    <row r="5" spans="2:7" ht="15.6" x14ac:dyDescent="0.3">
      <c r="B5" s="3" t="s">
        <v>65</v>
      </c>
      <c r="C5" s="70">
        <f>C4-C3</f>
        <v>53981</v>
      </c>
      <c r="D5" s="70">
        <f t="shared" ref="D5:G5" si="0">D4-D3</f>
        <v>51857</v>
      </c>
      <c r="E5" s="70">
        <f t="shared" si="0"/>
        <v>53460</v>
      </c>
      <c r="F5" s="70">
        <f t="shared" si="0"/>
        <v>56291</v>
      </c>
      <c r="G5" s="70">
        <f t="shared" si="0"/>
        <v>54635</v>
      </c>
    </row>
    <row r="6" spans="2:7" ht="15.6" x14ac:dyDescent="0.3">
      <c r="B6" s="1" t="s">
        <v>66</v>
      </c>
      <c r="C6" s="2">
        <v>214853</v>
      </c>
      <c r="D6" s="2">
        <v>202359</v>
      </c>
      <c r="E6" s="2">
        <v>190354</v>
      </c>
      <c r="F6" s="2">
        <v>160341</v>
      </c>
      <c r="G6" s="2">
        <v>135963</v>
      </c>
    </row>
    <row r="7" spans="2:7" ht="15.6" x14ac:dyDescent="0.3">
      <c r="B7" s="1" t="s">
        <v>44</v>
      </c>
      <c r="C7" s="2">
        <v>10742.65</v>
      </c>
      <c r="D7" s="2">
        <v>7494.78</v>
      </c>
      <c r="E7" s="2">
        <v>7050.15</v>
      </c>
      <c r="F7" s="2">
        <v>8439</v>
      </c>
      <c r="G7" s="2">
        <v>19423.29</v>
      </c>
    </row>
    <row r="8" spans="2:7" ht="15.6" x14ac:dyDescent="0.3">
      <c r="B8" s="1" t="s">
        <v>45</v>
      </c>
      <c r="C8" s="4">
        <v>4.3899999999999997</v>
      </c>
      <c r="D8" s="4">
        <v>4.55</v>
      </c>
      <c r="E8" s="4">
        <v>5.24</v>
      </c>
      <c r="F8" s="4">
        <v>5.82</v>
      </c>
      <c r="G8" s="4">
        <v>5.05</v>
      </c>
    </row>
    <row r="9" spans="2:7" ht="15.6" x14ac:dyDescent="0.3">
      <c r="B9" s="3" t="s">
        <v>43</v>
      </c>
      <c r="C9" s="5">
        <f>C6/C5</f>
        <v>3.9801596858153796</v>
      </c>
      <c r="D9" s="5">
        <f t="shared" ref="D9:G9" si="1">D6/D5</f>
        <v>3.9022504194226428</v>
      </c>
      <c r="E9" s="5">
        <f t="shared" si="1"/>
        <v>3.5606808829031049</v>
      </c>
      <c r="F9" s="5">
        <f t="shared" si="1"/>
        <v>2.8484304773409606</v>
      </c>
      <c r="G9" s="5">
        <f t="shared" si="1"/>
        <v>2.4885695982428846</v>
      </c>
    </row>
    <row r="10" spans="2:7" ht="16.2" thickBot="1" x14ac:dyDescent="0.35">
      <c r="B10" s="53"/>
    </row>
    <row r="11" spans="2:7" ht="15.6" x14ac:dyDescent="0.3">
      <c r="B11" s="71" t="s">
        <v>26</v>
      </c>
      <c r="C11" s="26">
        <v>46106</v>
      </c>
      <c r="D11" s="26">
        <v>46105</v>
      </c>
      <c r="E11" s="26">
        <v>46104</v>
      </c>
      <c r="F11" s="26">
        <v>46103</v>
      </c>
      <c r="G11" s="26">
        <v>46102</v>
      </c>
    </row>
    <row r="12" spans="2:7" ht="15.6" x14ac:dyDescent="0.3">
      <c r="B12" s="72" t="s">
        <v>63</v>
      </c>
      <c r="C12" s="6">
        <v>31762</v>
      </c>
      <c r="D12" s="6">
        <v>27086</v>
      </c>
      <c r="E12" s="6">
        <v>27442</v>
      </c>
      <c r="F12" s="6">
        <v>24976</v>
      </c>
      <c r="G12" s="7">
        <v>17622</v>
      </c>
    </row>
    <row r="13" spans="2:7" ht="15.6" x14ac:dyDescent="0.3">
      <c r="B13" s="72" t="s">
        <v>64</v>
      </c>
      <c r="C13" s="6">
        <v>77168</v>
      </c>
      <c r="D13" s="6">
        <v>70952</v>
      </c>
      <c r="E13" s="6">
        <v>52082</v>
      </c>
      <c r="F13" s="6">
        <v>52437</v>
      </c>
      <c r="G13" s="7">
        <v>48282</v>
      </c>
    </row>
    <row r="14" spans="2:7" ht="15.6" x14ac:dyDescent="0.3">
      <c r="B14" s="73" t="s">
        <v>65</v>
      </c>
      <c r="C14" s="6">
        <f>C13-C12</f>
        <v>45406</v>
      </c>
      <c r="D14" s="6">
        <f t="shared" ref="D14:G14" si="2">D13-D12</f>
        <v>43866</v>
      </c>
      <c r="E14" s="6">
        <f t="shared" si="2"/>
        <v>24640</v>
      </c>
      <c r="F14" s="6">
        <f t="shared" si="2"/>
        <v>27461</v>
      </c>
      <c r="G14" s="7">
        <f t="shared" si="2"/>
        <v>30660</v>
      </c>
    </row>
    <row r="15" spans="2:7" ht="15.6" x14ac:dyDescent="0.3">
      <c r="B15" s="72" t="s">
        <v>66</v>
      </c>
      <c r="C15" s="6">
        <v>136592</v>
      </c>
      <c r="D15" s="6">
        <v>128933</v>
      </c>
      <c r="E15" s="6">
        <v>124014</v>
      </c>
      <c r="F15" s="6">
        <v>103940</v>
      </c>
      <c r="G15" s="7">
        <v>85912</v>
      </c>
    </row>
    <row r="16" spans="2:7" ht="15.6" x14ac:dyDescent="0.3">
      <c r="B16" s="72" t="s">
        <v>44</v>
      </c>
      <c r="C16" s="8" t="s">
        <v>67</v>
      </c>
      <c r="D16" s="8" t="s">
        <v>67</v>
      </c>
      <c r="E16" s="8" t="s">
        <v>67</v>
      </c>
      <c r="F16" s="8" t="s">
        <v>67</v>
      </c>
      <c r="G16" s="9" t="s">
        <v>67</v>
      </c>
    </row>
    <row r="17" spans="2:7" ht="15.6" x14ac:dyDescent="0.3">
      <c r="B17" s="72" t="s">
        <v>45</v>
      </c>
      <c r="C17" s="10">
        <v>5.3</v>
      </c>
      <c r="D17" s="10">
        <v>5.61</v>
      </c>
      <c r="E17" s="10">
        <v>6.24</v>
      </c>
      <c r="F17" s="10">
        <v>5.88</v>
      </c>
      <c r="G17" s="10">
        <v>5.39</v>
      </c>
    </row>
    <row r="18" spans="2:7" ht="16.2" thickBot="1" x14ac:dyDescent="0.35">
      <c r="B18" s="74" t="s">
        <v>43</v>
      </c>
      <c r="C18" s="75">
        <f>C15/C14</f>
        <v>3.0082367968990882</v>
      </c>
      <c r="D18" s="75">
        <f t="shared" ref="D18:G18" si="3">D15/D14</f>
        <v>2.939246797063785</v>
      </c>
      <c r="E18" s="75">
        <f t="shared" si="3"/>
        <v>5.0330357142857141</v>
      </c>
      <c r="F18" s="75">
        <f t="shared" si="3"/>
        <v>3.7850041877571829</v>
      </c>
      <c r="G18" s="76">
        <f t="shared" si="3"/>
        <v>2.8020874103065885</v>
      </c>
    </row>
    <row r="20" spans="2:7" ht="15.6" x14ac:dyDescent="0.3">
      <c r="B20" s="27" t="s">
        <v>27</v>
      </c>
      <c r="C20" s="28">
        <v>46106</v>
      </c>
      <c r="D20" s="28">
        <v>46105</v>
      </c>
      <c r="E20" s="28">
        <v>46104</v>
      </c>
      <c r="F20" s="28">
        <v>46103</v>
      </c>
      <c r="G20" s="28">
        <v>46102</v>
      </c>
    </row>
    <row r="21" spans="2:7" ht="15.6" x14ac:dyDescent="0.25">
      <c r="B21" s="12" t="s">
        <v>63</v>
      </c>
      <c r="C21" s="13">
        <v>14035</v>
      </c>
      <c r="D21" s="13">
        <v>10464</v>
      </c>
      <c r="E21" s="13">
        <v>10667</v>
      </c>
      <c r="F21" s="13">
        <v>9043</v>
      </c>
      <c r="G21" s="13">
        <v>10019</v>
      </c>
    </row>
    <row r="22" spans="2:7" ht="15.6" x14ac:dyDescent="0.25">
      <c r="B22" s="12" t="s">
        <v>64</v>
      </c>
      <c r="C22" s="13">
        <v>29035</v>
      </c>
      <c r="D22" s="13">
        <v>29545</v>
      </c>
      <c r="E22" s="13">
        <v>28571</v>
      </c>
      <c r="F22" s="13">
        <v>26887</v>
      </c>
      <c r="G22" s="13">
        <v>27714</v>
      </c>
    </row>
    <row r="23" spans="2:7" ht="15.6" x14ac:dyDescent="0.3">
      <c r="B23" s="14" t="s">
        <v>65</v>
      </c>
      <c r="C23" s="43">
        <f>C22-C21</f>
        <v>15000</v>
      </c>
      <c r="D23" s="43">
        <f t="shared" ref="D23:G23" si="4">D22-D21</f>
        <v>19081</v>
      </c>
      <c r="E23" s="43">
        <f t="shared" si="4"/>
        <v>17904</v>
      </c>
      <c r="F23" s="43">
        <f t="shared" si="4"/>
        <v>17844</v>
      </c>
      <c r="G23" s="43">
        <f t="shared" si="4"/>
        <v>17695</v>
      </c>
    </row>
    <row r="24" spans="2:7" ht="15.6" x14ac:dyDescent="0.25">
      <c r="B24" s="15" t="s">
        <v>66</v>
      </c>
      <c r="C24" s="13">
        <v>51105</v>
      </c>
      <c r="D24" s="13">
        <v>48118</v>
      </c>
      <c r="E24" s="13">
        <v>46276</v>
      </c>
      <c r="F24" s="13">
        <v>40638</v>
      </c>
      <c r="G24" s="13">
        <v>35673</v>
      </c>
    </row>
    <row r="25" spans="2:7" ht="15.6" x14ac:dyDescent="0.25">
      <c r="B25" s="16" t="s">
        <v>44</v>
      </c>
      <c r="C25" s="17">
        <v>4258.75</v>
      </c>
      <c r="D25" s="17">
        <v>1924.72</v>
      </c>
      <c r="E25" s="17">
        <v>1322.17</v>
      </c>
      <c r="F25" s="17">
        <v>1766.87</v>
      </c>
      <c r="G25" s="17">
        <v>1981.83</v>
      </c>
    </row>
    <row r="26" spans="2:7" ht="15.6" x14ac:dyDescent="0.25">
      <c r="B26" s="16" t="s">
        <v>45</v>
      </c>
      <c r="C26" s="18">
        <v>3.81</v>
      </c>
      <c r="D26" s="18">
        <v>3.84</v>
      </c>
      <c r="E26" s="18">
        <v>3.85</v>
      </c>
      <c r="F26" s="18">
        <v>4.97</v>
      </c>
      <c r="G26" s="18">
        <v>5.61</v>
      </c>
    </row>
    <row r="27" spans="2:7" ht="15.6" x14ac:dyDescent="0.3">
      <c r="B27" s="14" t="s">
        <v>43</v>
      </c>
      <c r="C27" s="44">
        <f>C24/C23</f>
        <v>3.407</v>
      </c>
      <c r="D27" s="44">
        <f t="shared" ref="D27:G27" si="5">D24/D23</f>
        <v>2.5217755882815367</v>
      </c>
      <c r="E27" s="44">
        <f t="shared" si="5"/>
        <v>2.5846738159070597</v>
      </c>
      <c r="F27" s="44">
        <f t="shared" si="5"/>
        <v>2.277404169468729</v>
      </c>
      <c r="G27" s="44">
        <f t="shared" si="5"/>
        <v>2.0159932184232834</v>
      </c>
    </row>
    <row r="29" spans="2:7" ht="15.6" x14ac:dyDescent="0.3">
      <c r="B29" s="66" t="s">
        <v>28</v>
      </c>
      <c r="C29" s="29">
        <v>46106</v>
      </c>
      <c r="D29" s="29">
        <v>46105</v>
      </c>
      <c r="E29" s="29">
        <v>46104</v>
      </c>
      <c r="F29" s="29">
        <v>46103</v>
      </c>
      <c r="G29" s="29">
        <v>46102</v>
      </c>
    </row>
    <row r="30" spans="2:7" ht="15.6" x14ac:dyDescent="0.3">
      <c r="B30" s="19" t="s">
        <v>63</v>
      </c>
      <c r="C30" s="13">
        <v>22489.7</v>
      </c>
      <c r="D30" s="13">
        <v>18445.400000000001</v>
      </c>
      <c r="E30" s="13">
        <v>18842.8</v>
      </c>
      <c r="F30" s="13">
        <v>23173.7</v>
      </c>
      <c r="G30" s="13">
        <v>18132.400000000001</v>
      </c>
    </row>
    <row r="31" spans="2:7" ht="15.6" x14ac:dyDescent="0.3">
      <c r="B31" s="19" t="s">
        <v>64</v>
      </c>
      <c r="C31" s="13">
        <v>60225.2</v>
      </c>
      <c r="D31" s="13">
        <v>50563.8</v>
      </c>
      <c r="E31" s="13">
        <v>53977.8</v>
      </c>
      <c r="F31" s="13">
        <v>51772.2</v>
      </c>
      <c r="G31" s="13">
        <v>45379.5</v>
      </c>
    </row>
    <row r="32" spans="2:7" ht="15.6" x14ac:dyDescent="0.3">
      <c r="B32" s="14" t="s">
        <v>65</v>
      </c>
      <c r="C32" s="77">
        <f>C31-C30</f>
        <v>37735.5</v>
      </c>
      <c r="D32" s="77">
        <f t="shared" ref="D32:G32" si="6">D31-D30</f>
        <v>32118.400000000001</v>
      </c>
      <c r="E32" s="77">
        <f t="shared" si="6"/>
        <v>35135</v>
      </c>
      <c r="F32" s="77">
        <f t="shared" si="6"/>
        <v>28598.499999999996</v>
      </c>
      <c r="G32" s="77">
        <f t="shared" si="6"/>
        <v>27247.1</v>
      </c>
    </row>
    <row r="33" spans="2:7" ht="15.6" x14ac:dyDescent="0.3">
      <c r="B33" s="19" t="s">
        <v>66</v>
      </c>
      <c r="C33" s="13">
        <v>67292.800000000003</v>
      </c>
      <c r="D33" s="13">
        <v>66792.399999999994</v>
      </c>
      <c r="E33" s="13">
        <v>67753.399999999994</v>
      </c>
      <c r="F33" s="13">
        <v>59574.400000000001</v>
      </c>
      <c r="G33" s="13">
        <v>50299.4</v>
      </c>
    </row>
    <row r="34" spans="2:7" ht="15.6" x14ac:dyDescent="0.25">
      <c r="B34" s="16" t="s">
        <v>44</v>
      </c>
      <c r="C34" s="17">
        <v>1081.8800000000001</v>
      </c>
      <c r="D34" s="18">
        <v>916.22</v>
      </c>
      <c r="E34" s="18">
        <v>742.1</v>
      </c>
      <c r="F34" s="18">
        <v>680.85</v>
      </c>
      <c r="G34" s="18">
        <v>552.74</v>
      </c>
    </row>
    <row r="35" spans="2:7" ht="15.6" x14ac:dyDescent="0.25">
      <c r="B35" s="16" t="s">
        <v>45</v>
      </c>
      <c r="C35" s="18">
        <v>6.82</v>
      </c>
      <c r="D35" s="18">
        <v>5.36</v>
      </c>
      <c r="E35" s="18">
        <v>6</v>
      </c>
      <c r="F35" s="18">
        <v>6.87</v>
      </c>
      <c r="G35" s="18">
        <v>5.81</v>
      </c>
    </row>
    <row r="36" spans="2:7" ht="15.6" x14ac:dyDescent="0.3">
      <c r="B36" s="14" t="s">
        <v>43</v>
      </c>
      <c r="C36" s="78">
        <f>C33/C32</f>
        <v>1.7832756953001816</v>
      </c>
      <c r="D36" s="78">
        <f t="shared" ref="D36:G36" si="7">D33/D32</f>
        <v>2.0795680980372619</v>
      </c>
      <c r="E36" s="78">
        <f t="shared" si="7"/>
        <v>1.9283734168208337</v>
      </c>
      <c r="F36" s="78">
        <f t="shared" si="7"/>
        <v>2.0831302341031877</v>
      </c>
      <c r="G36" s="78">
        <f t="shared" si="7"/>
        <v>1.8460460012258186</v>
      </c>
    </row>
    <row r="37" spans="2:7" ht="15.6" thickBot="1" x14ac:dyDescent="0.3"/>
    <row r="38" spans="2:7" ht="15.6" x14ac:dyDescent="0.3">
      <c r="B38" s="79" t="s">
        <v>29</v>
      </c>
      <c r="C38" s="30">
        <v>46106</v>
      </c>
      <c r="D38" s="30">
        <v>46105</v>
      </c>
      <c r="E38" s="30">
        <v>46104</v>
      </c>
      <c r="F38" s="30">
        <v>46103</v>
      </c>
      <c r="G38" s="30">
        <v>46102</v>
      </c>
    </row>
    <row r="39" spans="2:7" ht="15.6" x14ac:dyDescent="0.3">
      <c r="B39" s="55" t="s">
        <v>63</v>
      </c>
      <c r="C39" s="6">
        <v>10504.1</v>
      </c>
      <c r="D39" s="6">
        <v>8838.2000000000007</v>
      </c>
      <c r="E39" s="6">
        <v>9595.5</v>
      </c>
      <c r="F39" s="6">
        <v>6636.4</v>
      </c>
      <c r="G39" s="6">
        <v>5961.3</v>
      </c>
    </row>
    <row r="40" spans="2:7" ht="15.6" x14ac:dyDescent="0.3">
      <c r="B40" s="55" t="s">
        <v>64</v>
      </c>
      <c r="C40" s="6">
        <v>17520.2</v>
      </c>
      <c r="D40" s="6">
        <v>16781</v>
      </c>
      <c r="E40" s="6">
        <v>17343.900000000001</v>
      </c>
      <c r="F40" s="6">
        <v>16965</v>
      </c>
      <c r="G40" s="6">
        <v>20020.2</v>
      </c>
    </row>
    <row r="41" spans="2:7" ht="15.6" x14ac:dyDescent="0.3">
      <c r="B41" s="56" t="s">
        <v>65</v>
      </c>
      <c r="C41" s="6">
        <f>C40-C39</f>
        <v>7016.1</v>
      </c>
      <c r="D41" s="6">
        <f t="shared" ref="D41:G41" si="8">D40-D39</f>
        <v>7942.7999999999993</v>
      </c>
      <c r="E41" s="6">
        <f t="shared" si="8"/>
        <v>7748.4000000000015</v>
      </c>
      <c r="F41" s="6">
        <f t="shared" si="8"/>
        <v>10328.6</v>
      </c>
      <c r="G41" s="6">
        <f t="shared" si="8"/>
        <v>14058.900000000001</v>
      </c>
    </row>
    <row r="42" spans="2:7" ht="15.6" x14ac:dyDescent="0.3">
      <c r="B42" s="55" t="s">
        <v>66</v>
      </c>
      <c r="C42" s="6">
        <v>44617.2</v>
      </c>
      <c r="D42" s="6">
        <v>42099.3</v>
      </c>
      <c r="E42" s="6">
        <v>42657.3</v>
      </c>
      <c r="F42" s="6">
        <v>34726.1</v>
      </c>
      <c r="G42" s="6">
        <v>29640.9</v>
      </c>
    </row>
    <row r="43" spans="2:7" ht="15.6" x14ac:dyDescent="0.3">
      <c r="B43" s="55" t="s">
        <v>44</v>
      </c>
      <c r="C43" s="8" t="s">
        <v>67</v>
      </c>
      <c r="D43" s="8" t="s">
        <v>67</v>
      </c>
      <c r="E43" s="8" t="s">
        <v>67</v>
      </c>
      <c r="F43" s="8" t="s">
        <v>67</v>
      </c>
      <c r="G43" s="8" t="s">
        <v>67</v>
      </c>
    </row>
    <row r="44" spans="2:7" ht="15.6" x14ac:dyDescent="0.3">
      <c r="B44" s="55" t="s">
        <v>45</v>
      </c>
      <c r="C44" s="20">
        <v>4.63</v>
      </c>
      <c r="D44" s="20">
        <v>4.25</v>
      </c>
      <c r="E44" s="20">
        <v>4.26</v>
      </c>
      <c r="F44" s="20">
        <v>4.6900000000000004</v>
      </c>
      <c r="G44" s="20">
        <v>5.22</v>
      </c>
    </row>
    <row r="45" spans="2:7" ht="16.2" thickBot="1" x14ac:dyDescent="0.35">
      <c r="B45" s="57" t="s">
        <v>43</v>
      </c>
      <c r="C45" s="58">
        <f>C42/C41</f>
        <v>6.359259417625176</v>
      </c>
      <c r="D45" s="58">
        <f t="shared" ref="D45:G45" si="9">D42/D41</f>
        <v>5.3003097144583782</v>
      </c>
      <c r="E45" s="58">
        <f t="shared" si="9"/>
        <v>5.5053043208920549</v>
      </c>
      <c r="F45" s="58">
        <f t="shared" si="9"/>
        <v>3.362130395213291</v>
      </c>
      <c r="G45" s="58">
        <f t="shared" si="9"/>
        <v>2.1083370676226445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D273-CCE5-4BF3-B0A9-46936A3E2FDB}">
  <dimension ref="B1:G45"/>
  <sheetViews>
    <sheetView topLeftCell="A25" workbookViewId="0">
      <selection activeCell="C14" sqref="C14"/>
    </sheetView>
  </sheetViews>
  <sheetFormatPr defaultRowHeight="13.8" x14ac:dyDescent="0.25"/>
  <cols>
    <col min="1" max="1" width="8.88671875" style="49"/>
    <col min="2" max="2" width="31" style="49" bestFit="1" customWidth="1"/>
    <col min="3" max="5" width="12.77734375" style="49" bestFit="1" customWidth="1"/>
    <col min="6" max="7" width="10.88671875" style="49" bestFit="1" customWidth="1"/>
    <col min="8" max="16384" width="8.88671875" style="49"/>
  </cols>
  <sheetData>
    <row r="1" spans="2:7" ht="14.4" thickBot="1" x14ac:dyDescent="0.3"/>
    <row r="2" spans="2:7" ht="15.6" x14ac:dyDescent="0.3">
      <c r="B2" s="54" t="s">
        <v>34</v>
      </c>
      <c r="C2" s="31">
        <v>46106</v>
      </c>
      <c r="D2" s="31">
        <v>46105</v>
      </c>
      <c r="E2" s="31">
        <v>46104</v>
      </c>
      <c r="F2" s="31">
        <v>46103</v>
      </c>
      <c r="G2" s="31">
        <v>46102</v>
      </c>
    </row>
    <row r="3" spans="2:7" ht="15.6" x14ac:dyDescent="0.3">
      <c r="B3" s="55" t="s">
        <v>63</v>
      </c>
      <c r="C3" s="6">
        <v>26720.7</v>
      </c>
      <c r="D3" s="6">
        <v>22928.7</v>
      </c>
      <c r="E3" s="6">
        <v>20099.3</v>
      </c>
      <c r="F3" s="6">
        <v>17013.7</v>
      </c>
      <c r="G3" s="6">
        <v>16106.7</v>
      </c>
    </row>
    <row r="4" spans="2:7" ht="15.6" x14ac:dyDescent="0.3">
      <c r="B4" s="55" t="s">
        <v>64</v>
      </c>
      <c r="C4" s="6">
        <v>23252.2</v>
      </c>
      <c r="D4" s="6">
        <v>17762.400000000001</v>
      </c>
      <c r="E4" s="6">
        <v>11599.9</v>
      </c>
      <c r="F4" s="6">
        <v>16781.2</v>
      </c>
      <c r="G4" s="6">
        <v>18526.7</v>
      </c>
    </row>
    <row r="5" spans="2:7" ht="15.6" x14ac:dyDescent="0.3">
      <c r="B5" s="56" t="s">
        <v>65</v>
      </c>
      <c r="C5" s="6">
        <f>C4-C3</f>
        <v>-3468.5</v>
      </c>
      <c r="D5" s="6">
        <f t="shared" ref="D5:G5" si="0">D4-D3</f>
        <v>-5166.2999999999993</v>
      </c>
      <c r="E5" s="6">
        <f t="shared" si="0"/>
        <v>-8499.4</v>
      </c>
      <c r="F5" s="6">
        <f t="shared" si="0"/>
        <v>-232.5</v>
      </c>
      <c r="G5" s="6">
        <f t="shared" si="0"/>
        <v>2420</v>
      </c>
    </row>
    <row r="6" spans="2:7" ht="15.6" x14ac:dyDescent="0.3">
      <c r="B6" s="55" t="s">
        <v>66</v>
      </c>
      <c r="C6" s="21">
        <v>151900.1</v>
      </c>
      <c r="D6" s="21">
        <v>140932.6</v>
      </c>
      <c r="E6" s="21">
        <v>117522.9</v>
      </c>
      <c r="F6" s="21">
        <v>88295.6</v>
      </c>
      <c r="G6" s="21">
        <v>70332.5</v>
      </c>
    </row>
    <row r="7" spans="2:7" ht="15.6" x14ac:dyDescent="0.3">
      <c r="B7" s="55" t="s">
        <v>44</v>
      </c>
      <c r="C7" s="20">
        <v>29.65</v>
      </c>
      <c r="D7" s="20">
        <v>34.21</v>
      </c>
      <c r="E7" s="20">
        <v>27.43</v>
      </c>
      <c r="F7" s="20">
        <v>24.99</v>
      </c>
      <c r="G7" s="20">
        <v>23.06</v>
      </c>
    </row>
    <row r="8" spans="2:7" ht="15.6" x14ac:dyDescent="0.3">
      <c r="B8" s="55" t="s">
        <v>45</v>
      </c>
      <c r="C8" s="20">
        <v>27.27</v>
      </c>
      <c r="D8" s="20">
        <v>35.69</v>
      </c>
      <c r="E8" s="20">
        <v>44.13</v>
      </c>
      <c r="F8" s="20">
        <v>53.4</v>
      </c>
      <c r="G8" s="20">
        <v>43.26</v>
      </c>
    </row>
    <row r="9" spans="2:7" ht="16.2" thickBot="1" x14ac:dyDescent="0.35">
      <c r="B9" s="57" t="s">
        <v>43</v>
      </c>
      <c r="C9" s="58">
        <f>C6/C5</f>
        <v>-43.794176156840138</v>
      </c>
      <c r="D9" s="58">
        <f t="shared" ref="D9:G9" si="1">D6/D5</f>
        <v>-27.279213363529031</v>
      </c>
      <c r="E9" s="58">
        <f t="shared" si="1"/>
        <v>-13.827199567028261</v>
      </c>
      <c r="F9" s="58">
        <f t="shared" si="1"/>
        <v>-379.76602150537639</v>
      </c>
      <c r="G9" s="58">
        <f t="shared" si="1"/>
        <v>29.063016528925619</v>
      </c>
    </row>
    <row r="11" spans="2:7" ht="15.6" x14ac:dyDescent="0.3">
      <c r="B11" s="59" t="s">
        <v>68</v>
      </c>
      <c r="C11" s="60">
        <v>46106</v>
      </c>
      <c r="D11" s="60">
        <v>46105</v>
      </c>
      <c r="E11" s="60">
        <v>46104</v>
      </c>
      <c r="F11" s="60">
        <v>46103</v>
      </c>
      <c r="G11" s="60">
        <v>46102</v>
      </c>
    </row>
    <row r="12" spans="2:7" ht="15.6" x14ac:dyDescent="0.3">
      <c r="B12" s="61" t="s">
        <v>63</v>
      </c>
      <c r="C12" s="62">
        <v>32079.79</v>
      </c>
      <c r="D12" s="62">
        <v>25978.75</v>
      </c>
      <c r="E12" s="62">
        <v>26039.99</v>
      </c>
      <c r="F12" s="62">
        <v>18820.29</v>
      </c>
      <c r="G12" s="62">
        <v>15133.17</v>
      </c>
    </row>
    <row r="13" spans="2:7" ht="15.6" x14ac:dyDescent="0.3">
      <c r="B13" s="61" t="s">
        <v>64</v>
      </c>
      <c r="C13" s="62">
        <v>47663.9</v>
      </c>
      <c r="D13" s="62">
        <v>35105.800000000003</v>
      </c>
      <c r="E13" s="62">
        <v>34643.629999999997</v>
      </c>
      <c r="F13" s="62">
        <v>25917.7</v>
      </c>
      <c r="G13" s="62">
        <v>20312.3</v>
      </c>
    </row>
    <row r="14" spans="2:7" ht="15.6" x14ac:dyDescent="0.3">
      <c r="B14" s="61" t="s">
        <v>65</v>
      </c>
      <c r="C14" s="62">
        <f>C13-C12</f>
        <v>15584.11</v>
      </c>
      <c r="D14" s="62">
        <f t="shared" ref="D14:G14" si="2">D13-D12</f>
        <v>9127.0500000000029</v>
      </c>
      <c r="E14" s="62">
        <f t="shared" si="2"/>
        <v>8603.6399999999958</v>
      </c>
      <c r="F14" s="62">
        <f t="shared" si="2"/>
        <v>7097.41</v>
      </c>
      <c r="G14" s="62">
        <f t="shared" si="2"/>
        <v>5179.1299999999992</v>
      </c>
    </row>
    <row r="15" spans="2:7" ht="15.6" x14ac:dyDescent="0.3">
      <c r="B15" s="61" t="s">
        <v>66</v>
      </c>
      <c r="C15" s="62">
        <v>116483.68</v>
      </c>
      <c r="D15" s="62">
        <v>98763.42</v>
      </c>
      <c r="E15" s="62">
        <v>84960.26</v>
      </c>
      <c r="F15" s="62">
        <v>57445.97</v>
      </c>
      <c r="G15" s="62">
        <v>45040.98</v>
      </c>
    </row>
    <row r="16" spans="2:7" ht="15.6" x14ac:dyDescent="0.3">
      <c r="B16" s="61" t="s">
        <v>44</v>
      </c>
      <c r="C16" s="61">
        <v>11.27</v>
      </c>
      <c r="D16" s="61">
        <v>10.39</v>
      </c>
      <c r="E16" s="61">
        <v>9.57</v>
      </c>
      <c r="F16" s="61">
        <v>9.76</v>
      </c>
      <c r="G16" s="61">
        <v>11.39</v>
      </c>
    </row>
    <row r="17" spans="2:7" ht="15.6" x14ac:dyDescent="0.3">
      <c r="B17" s="61" t="s">
        <v>45</v>
      </c>
      <c r="C17" s="61">
        <v>22.67</v>
      </c>
      <c r="D17" s="61">
        <v>22.99</v>
      </c>
      <c r="E17" s="61">
        <v>24.01</v>
      </c>
      <c r="F17" s="61">
        <v>21.36</v>
      </c>
      <c r="G17" s="61">
        <v>16.86</v>
      </c>
    </row>
    <row r="18" spans="2:7" ht="15.6" x14ac:dyDescent="0.3">
      <c r="B18" s="61" t="s">
        <v>43</v>
      </c>
      <c r="C18" s="63">
        <f>C15/C14</f>
        <v>7.4745160294684769</v>
      </c>
      <c r="D18" s="63">
        <f t="shared" ref="D18:G18" si="3">D15/D14</f>
        <v>10.820957483524246</v>
      </c>
      <c r="E18" s="63">
        <f t="shared" si="3"/>
        <v>9.8749203825357679</v>
      </c>
      <c r="F18" s="63">
        <f t="shared" si="3"/>
        <v>8.0939342661618827</v>
      </c>
      <c r="G18" s="63">
        <f t="shared" si="3"/>
        <v>8.6966305151637453</v>
      </c>
    </row>
    <row r="20" spans="2:7" ht="15.6" x14ac:dyDescent="0.3">
      <c r="B20" s="64" t="s">
        <v>36</v>
      </c>
      <c r="C20" s="65">
        <v>46106</v>
      </c>
      <c r="D20" s="65">
        <v>46105</v>
      </c>
      <c r="E20" s="65">
        <v>46104</v>
      </c>
      <c r="F20" s="65">
        <v>46103</v>
      </c>
      <c r="G20" s="65">
        <v>46102</v>
      </c>
    </row>
    <row r="21" spans="2:7" ht="15.6" x14ac:dyDescent="0.3">
      <c r="B21" s="61" t="s">
        <v>63</v>
      </c>
      <c r="C21" s="62">
        <v>9002.75</v>
      </c>
      <c r="D21" s="62">
        <v>8725.7000000000007</v>
      </c>
      <c r="E21" s="62">
        <v>5198.04</v>
      </c>
      <c r="F21" s="62">
        <v>4689.4399999999996</v>
      </c>
      <c r="G21" s="62">
        <v>5643.21</v>
      </c>
    </row>
    <row r="22" spans="2:7" ht="15.6" x14ac:dyDescent="0.3">
      <c r="B22" s="61" t="s">
        <v>64</v>
      </c>
      <c r="C22" s="62">
        <v>13427.31</v>
      </c>
      <c r="D22" s="62">
        <v>10357.18</v>
      </c>
      <c r="E22" s="62">
        <v>8870.41</v>
      </c>
      <c r="F22" s="62">
        <v>9994.4699999999993</v>
      </c>
      <c r="G22" s="62">
        <v>14175.13</v>
      </c>
    </row>
    <row r="23" spans="2:7" ht="15.6" x14ac:dyDescent="0.3">
      <c r="B23" s="61" t="s">
        <v>65</v>
      </c>
      <c r="C23" s="62">
        <f>C22-C21</f>
        <v>4424.5599999999995</v>
      </c>
      <c r="D23" s="62">
        <f t="shared" ref="D23:G23" si="4">D22-D21</f>
        <v>1631.4799999999996</v>
      </c>
      <c r="E23" s="62">
        <f t="shared" si="4"/>
        <v>3672.37</v>
      </c>
      <c r="F23" s="62">
        <f t="shared" si="4"/>
        <v>5305.03</v>
      </c>
      <c r="G23" s="62">
        <f t="shared" si="4"/>
        <v>8531.9199999999983</v>
      </c>
    </row>
    <row r="24" spans="2:7" ht="15.6" x14ac:dyDescent="0.3">
      <c r="B24" s="61" t="s">
        <v>66</v>
      </c>
      <c r="C24" s="62">
        <v>50010.31</v>
      </c>
      <c r="D24" s="62">
        <v>44685.23</v>
      </c>
      <c r="E24" s="62">
        <v>36427.599999999999</v>
      </c>
      <c r="F24" s="62">
        <v>33144.71</v>
      </c>
      <c r="G24" s="62">
        <v>27741.08</v>
      </c>
    </row>
    <row r="25" spans="2:7" ht="15.6" x14ac:dyDescent="0.3">
      <c r="B25" s="61" t="s">
        <v>44</v>
      </c>
      <c r="C25" s="61">
        <v>25.54</v>
      </c>
      <c r="D25" s="61">
        <v>26.35</v>
      </c>
      <c r="E25" s="61">
        <v>26.06</v>
      </c>
      <c r="F25" s="61">
        <v>26.94</v>
      </c>
      <c r="G25" s="61">
        <v>18.57</v>
      </c>
    </row>
    <row r="26" spans="2:7" ht="15.6" x14ac:dyDescent="0.3">
      <c r="B26" s="61" t="s">
        <v>45</v>
      </c>
      <c r="C26" s="61">
        <v>22.71</v>
      </c>
      <c r="D26" s="61">
        <v>22.92</v>
      </c>
      <c r="E26" s="61">
        <v>22.13</v>
      </c>
      <c r="F26" s="61">
        <v>15.66</v>
      </c>
      <c r="G26" s="61">
        <v>12.49</v>
      </c>
    </row>
    <row r="27" spans="2:7" ht="15.6" x14ac:dyDescent="0.3">
      <c r="B27" s="61" t="s">
        <v>43</v>
      </c>
      <c r="C27" s="63">
        <f>C24/C23</f>
        <v>11.302888874825973</v>
      </c>
      <c r="D27" s="63">
        <f t="shared" ref="D27:G27" si="5">D24/D23</f>
        <v>27.389382646431471</v>
      </c>
      <c r="E27" s="63">
        <f t="shared" si="5"/>
        <v>9.9193708694929974</v>
      </c>
      <c r="F27" s="63">
        <f t="shared" si="5"/>
        <v>6.2477893621713729</v>
      </c>
      <c r="G27" s="63">
        <f t="shared" si="5"/>
        <v>3.2514463332989534</v>
      </c>
    </row>
    <row r="29" spans="2:7" ht="15.6" x14ac:dyDescent="0.3">
      <c r="B29" s="66" t="s">
        <v>37</v>
      </c>
      <c r="C29" s="29">
        <v>46106</v>
      </c>
      <c r="D29" s="29">
        <v>46105</v>
      </c>
      <c r="E29" s="29">
        <v>46104</v>
      </c>
      <c r="F29" s="29">
        <v>46103</v>
      </c>
      <c r="G29" s="29">
        <v>46102</v>
      </c>
    </row>
    <row r="30" spans="2:7" ht="15.6" x14ac:dyDescent="0.25">
      <c r="B30" s="16" t="s">
        <v>63</v>
      </c>
      <c r="C30" s="13">
        <v>4016.44</v>
      </c>
      <c r="D30" s="13">
        <v>3359.9</v>
      </c>
      <c r="E30" s="13">
        <v>3045.07</v>
      </c>
      <c r="F30" s="13">
        <v>2878.87</v>
      </c>
      <c r="G30" s="13">
        <v>2428.71</v>
      </c>
    </row>
    <row r="31" spans="2:7" ht="15.6" x14ac:dyDescent="0.25">
      <c r="B31" s="16" t="s">
        <v>64</v>
      </c>
      <c r="C31" s="13">
        <v>6788.16</v>
      </c>
      <c r="D31" s="13">
        <v>3874.61</v>
      </c>
      <c r="E31" s="13">
        <v>3499.91</v>
      </c>
      <c r="F31" s="13">
        <v>5497.8</v>
      </c>
      <c r="G31" s="13">
        <v>8747.69</v>
      </c>
    </row>
    <row r="32" spans="2:7" ht="15.6" x14ac:dyDescent="0.3">
      <c r="B32" s="22" t="s">
        <v>65</v>
      </c>
      <c r="C32" s="67">
        <f>C31-C30</f>
        <v>2771.72</v>
      </c>
      <c r="D32" s="67">
        <f t="shared" ref="D32:G32" si="6">D31-D30</f>
        <v>514.71</v>
      </c>
      <c r="E32" s="67">
        <f t="shared" si="6"/>
        <v>454.83999999999969</v>
      </c>
      <c r="F32" s="67">
        <f t="shared" si="6"/>
        <v>2618.9300000000003</v>
      </c>
      <c r="G32" s="67">
        <f t="shared" si="6"/>
        <v>6318.9800000000005</v>
      </c>
    </row>
    <row r="33" spans="2:7" ht="15.6" x14ac:dyDescent="0.25">
      <c r="B33" s="16" t="s">
        <v>66</v>
      </c>
      <c r="C33" s="13">
        <v>18451.46</v>
      </c>
      <c r="D33" s="13">
        <v>16078.16</v>
      </c>
      <c r="E33" s="13">
        <v>14066.64</v>
      </c>
      <c r="F33" s="13">
        <v>10122.86</v>
      </c>
      <c r="G33" s="13">
        <v>8619.0400000000009</v>
      </c>
    </row>
    <row r="34" spans="2:7" ht="15.6" x14ac:dyDescent="0.25">
      <c r="B34" s="16" t="s">
        <v>44</v>
      </c>
      <c r="C34" s="23">
        <v>16.690000000000001</v>
      </c>
      <c r="D34" s="23">
        <v>15.05</v>
      </c>
      <c r="E34" s="23">
        <v>15.44</v>
      </c>
      <c r="F34" s="23">
        <v>11.27</v>
      </c>
      <c r="G34" s="23">
        <v>11.21</v>
      </c>
    </row>
    <row r="35" spans="2:7" ht="15.6" x14ac:dyDescent="0.25">
      <c r="B35" s="16" t="s">
        <v>45</v>
      </c>
      <c r="C35" s="23">
        <v>17.32</v>
      </c>
      <c r="D35" s="23">
        <v>18.36</v>
      </c>
      <c r="E35" s="23">
        <v>15.03</v>
      </c>
      <c r="F35" s="23">
        <v>14.2</v>
      </c>
      <c r="G35" s="23">
        <v>44.18</v>
      </c>
    </row>
    <row r="36" spans="2:7" ht="15.6" x14ac:dyDescent="0.3">
      <c r="B36" s="22" t="s">
        <v>43</v>
      </c>
      <c r="C36" s="68">
        <f>C33/C32</f>
        <v>6.6570432799849915</v>
      </c>
      <c r="D36" s="68">
        <f t="shared" ref="D36:G36" si="7">D33/D32</f>
        <v>31.237318101455188</v>
      </c>
      <c r="E36" s="68">
        <f t="shared" si="7"/>
        <v>30.926567584205454</v>
      </c>
      <c r="F36" s="68">
        <f t="shared" si="7"/>
        <v>3.8652655855635696</v>
      </c>
      <c r="G36" s="68">
        <f t="shared" si="7"/>
        <v>1.3639922898948882</v>
      </c>
    </row>
    <row r="38" spans="2:7" ht="15.6" x14ac:dyDescent="0.3">
      <c r="B38" s="69" t="s">
        <v>38</v>
      </c>
      <c r="C38" s="32">
        <v>46106</v>
      </c>
      <c r="D38" s="32">
        <v>46105</v>
      </c>
      <c r="E38" s="32">
        <v>46104</v>
      </c>
      <c r="F38" s="32">
        <v>46103</v>
      </c>
      <c r="G38" s="32">
        <v>46102</v>
      </c>
    </row>
    <row r="39" spans="2:7" ht="15.6" x14ac:dyDescent="0.25">
      <c r="B39" s="16" t="s">
        <v>63</v>
      </c>
      <c r="C39" s="13">
        <v>8449.24</v>
      </c>
      <c r="D39" s="13">
        <v>6606.8</v>
      </c>
      <c r="E39" s="13">
        <v>6008.54</v>
      </c>
      <c r="F39" s="13">
        <v>5186.5</v>
      </c>
      <c r="G39" s="13">
        <v>4585.41</v>
      </c>
    </row>
    <row r="40" spans="2:7" ht="15.6" x14ac:dyDescent="0.25">
      <c r="B40" s="16" t="s">
        <v>64</v>
      </c>
      <c r="C40" s="13">
        <v>5081.87</v>
      </c>
      <c r="D40" s="13">
        <v>4217.82</v>
      </c>
      <c r="E40" s="13">
        <v>3667.5</v>
      </c>
      <c r="F40" s="13">
        <v>3362.28</v>
      </c>
      <c r="G40" s="13">
        <v>3446.79</v>
      </c>
    </row>
    <row r="41" spans="2:7" ht="15.6" x14ac:dyDescent="0.3">
      <c r="B41" s="22" t="s">
        <v>65</v>
      </c>
      <c r="C41" s="67">
        <f>C40-C39</f>
        <v>-3367.37</v>
      </c>
      <c r="D41" s="67">
        <f t="shared" ref="D41:G41" si="8">D40-D39</f>
        <v>-2388.9800000000005</v>
      </c>
      <c r="E41" s="67">
        <f t="shared" si="8"/>
        <v>-2341.04</v>
      </c>
      <c r="F41" s="67">
        <f t="shared" si="8"/>
        <v>-1824.2199999999998</v>
      </c>
      <c r="G41" s="67">
        <f t="shared" si="8"/>
        <v>-1138.6199999999999</v>
      </c>
    </row>
    <row r="42" spans="2:7" ht="15.6" x14ac:dyDescent="0.25">
      <c r="B42" s="16" t="s">
        <v>66</v>
      </c>
      <c r="C42" s="13">
        <v>36251.32</v>
      </c>
      <c r="D42" s="13">
        <v>31776.37</v>
      </c>
      <c r="E42" s="13">
        <v>26378.09</v>
      </c>
      <c r="F42" s="13">
        <v>20790.509999999998</v>
      </c>
      <c r="G42" s="13">
        <v>16750.54</v>
      </c>
    </row>
    <row r="43" spans="2:7" ht="15.6" x14ac:dyDescent="0.25">
      <c r="B43" s="16" t="s">
        <v>44</v>
      </c>
      <c r="C43" s="18">
        <v>21.01</v>
      </c>
      <c r="D43" s="18">
        <v>23.18</v>
      </c>
      <c r="E43" s="18">
        <v>21.34</v>
      </c>
      <c r="F43" s="18">
        <v>18.52</v>
      </c>
      <c r="G43" s="18">
        <v>14.54</v>
      </c>
    </row>
    <row r="44" spans="2:7" ht="15.6" x14ac:dyDescent="0.25">
      <c r="B44" s="16" t="s">
        <v>45</v>
      </c>
      <c r="C44" s="18">
        <v>28.08</v>
      </c>
      <c r="D44" s="18">
        <v>28.16</v>
      </c>
      <c r="E44" s="18">
        <v>27.68</v>
      </c>
      <c r="F44" s="18">
        <v>22.84</v>
      </c>
      <c r="G44" s="18">
        <v>15.57</v>
      </c>
    </row>
    <row r="45" spans="2:7" ht="15.6" x14ac:dyDescent="0.3">
      <c r="B45" s="22" t="s">
        <v>43</v>
      </c>
      <c r="C45" s="68">
        <f>C42/C41</f>
        <v>-10.765469787994785</v>
      </c>
      <c r="D45" s="68">
        <f t="shared" ref="D45:G45" si="9">D42/D41</f>
        <v>-13.301228976383223</v>
      </c>
      <c r="E45" s="68">
        <f t="shared" si="9"/>
        <v>-11.267680176331886</v>
      </c>
      <c r="F45" s="68">
        <f t="shared" si="9"/>
        <v>-11.396931291181986</v>
      </c>
      <c r="G45" s="68">
        <f t="shared" si="9"/>
        <v>-14.711264513182627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zoomScale="115" zoomScaleNormal="115" workbookViewId="0">
      <selection activeCell="J16" sqref="J16"/>
    </sheetView>
  </sheetViews>
  <sheetFormatPr defaultColWidth="8.6640625" defaultRowHeight="15.6" x14ac:dyDescent="0.3"/>
  <cols>
    <col min="1" max="1" width="25" style="52" customWidth="1"/>
    <col min="2" max="6" width="14" style="52" customWidth="1"/>
    <col min="7" max="7" width="14" style="53" customWidth="1"/>
    <col min="8" max="16384" width="8.6640625" style="52"/>
  </cols>
  <sheetData>
    <row r="1" spans="1:7" ht="17.25" customHeight="1" x14ac:dyDescent="0.3">
      <c r="A1" s="93" t="s">
        <v>16</v>
      </c>
      <c r="B1" s="93"/>
      <c r="C1" s="93"/>
      <c r="D1" s="93"/>
      <c r="E1" s="93"/>
      <c r="F1" s="93"/>
      <c r="G1" s="93"/>
    </row>
    <row r="3" spans="1:7" ht="15" customHeight="1" x14ac:dyDescent="0.3">
      <c r="A3" s="84" t="s">
        <v>17</v>
      </c>
      <c r="B3" s="87"/>
      <c r="C3" s="87"/>
    </row>
    <row r="4" spans="1:7" ht="15" customHeight="1" x14ac:dyDescent="0.3">
      <c r="A4" s="33" t="s">
        <v>18</v>
      </c>
      <c r="B4" s="33" t="s">
        <v>19</v>
      </c>
      <c r="C4" s="33" t="s">
        <v>20</v>
      </c>
      <c r="D4" s="33" t="s">
        <v>21</v>
      </c>
      <c r="E4" s="33" t="s">
        <v>22</v>
      </c>
      <c r="F4" s="33" t="s">
        <v>23</v>
      </c>
      <c r="G4" s="33" t="s">
        <v>24</v>
      </c>
    </row>
    <row r="5" spans="1:7" ht="15" customHeight="1" x14ac:dyDescent="0.3">
      <c r="A5" s="39" t="s">
        <v>25</v>
      </c>
      <c r="B5" s="40">
        <v>3.98015968581538</v>
      </c>
      <c r="C5" s="40">
        <v>3.9022504194226402</v>
      </c>
      <c r="D5" s="40">
        <v>3.5606808829031098</v>
      </c>
      <c r="E5" s="40">
        <v>2.8484304773409601</v>
      </c>
      <c r="F5" s="40">
        <v>2.4885695982428899</v>
      </c>
      <c r="G5" s="46">
        <f>AVERAGE(B5:F5)</f>
        <v>3.3560182127449965</v>
      </c>
    </row>
    <row r="6" spans="1:7" ht="15" customHeight="1" x14ac:dyDescent="0.3">
      <c r="A6" s="39" t="s">
        <v>26</v>
      </c>
      <c r="B6" s="40">
        <v>3.00823679689909</v>
      </c>
      <c r="C6" s="40">
        <v>2.9392467970637899</v>
      </c>
      <c r="D6" s="40">
        <v>5.0330357142857096</v>
      </c>
      <c r="E6" s="40">
        <v>3.7850041877571798</v>
      </c>
      <c r="F6" s="40">
        <v>2.8020874103065898</v>
      </c>
      <c r="G6" s="46">
        <f>AVERAGE(B6:F6)</f>
        <v>3.5135221812624713</v>
      </c>
    </row>
    <row r="7" spans="1:7" ht="15" customHeight="1" x14ac:dyDescent="0.3">
      <c r="A7" s="39" t="s">
        <v>27</v>
      </c>
      <c r="B7" s="40">
        <v>3.407</v>
      </c>
      <c r="C7" s="40">
        <v>2.5217755882815398</v>
      </c>
      <c r="D7" s="40">
        <v>2.5846738159070601</v>
      </c>
      <c r="E7" s="40">
        <v>2.2774041694687299</v>
      </c>
      <c r="F7" s="40">
        <v>2.0159932184232798</v>
      </c>
      <c r="G7" s="46">
        <f>AVERAGE(B7:F7)</f>
        <v>2.5613693584161217</v>
      </c>
    </row>
    <row r="8" spans="1:7" ht="15" customHeight="1" x14ac:dyDescent="0.3">
      <c r="A8" s="39" t="s">
        <v>28</v>
      </c>
      <c r="B8" s="40">
        <v>1.78327569530018</v>
      </c>
      <c r="C8" s="40">
        <v>2.0795680980372602</v>
      </c>
      <c r="D8" s="40">
        <v>1.92837341682083</v>
      </c>
      <c r="E8" s="40">
        <v>2.0831302341031899</v>
      </c>
      <c r="F8" s="40">
        <v>1.84604600122582</v>
      </c>
      <c r="G8" s="46">
        <f>AVERAGE(B8:F8)</f>
        <v>1.9440786890974562</v>
      </c>
    </row>
    <row r="9" spans="1:7" ht="15" customHeight="1" x14ac:dyDescent="0.3">
      <c r="A9" s="39" t="s">
        <v>29</v>
      </c>
      <c r="B9" s="40">
        <v>6.3592594176251804</v>
      </c>
      <c r="C9" s="40">
        <v>5.30030971445838</v>
      </c>
      <c r="D9" s="40">
        <v>5.5053043208920602</v>
      </c>
      <c r="E9" s="40">
        <v>3.3621303952132902</v>
      </c>
      <c r="F9" s="40">
        <v>2.1083370676226498</v>
      </c>
      <c r="G9" s="46">
        <f>AVERAGE(B9:F9)</f>
        <v>4.5270681831623119</v>
      </c>
    </row>
    <row r="10" spans="1:7" ht="15" customHeight="1" x14ac:dyDescent="0.3">
      <c r="A10" s="41" t="s">
        <v>30</v>
      </c>
      <c r="B10" s="42">
        <f t="shared" ref="B10:G10" si="0">AVERAGE(B5:B9)</f>
        <v>3.7075863191279668</v>
      </c>
      <c r="C10" s="42">
        <f t="shared" si="0"/>
        <v>3.3486301234527218</v>
      </c>
      <c r="D10" s="42">
        <f t="shared" si="0"/>
        <v>3.7224136301617534</v>
      </c>
      <c r="E10" s="42">
        <f t="shared" si="0"/>
        <v>2.8712198927766694</v>
      </c>
      <c r="F10" s="42">
        <f t="shared" si="0"/>
        <v>2.252206659164246</v>
      </c>
      <c r="G10" s="42">
        <f t="shared" si="0"/>
        <v>3.1804113249366712</v>
      </c>
    </row>
    <row r="12" spans="1:7" ht="15" customHeight="1" x14ac:dyDescent="0.3">
      <c r="A12" s="84" t="s">
        <v>31</v>
      </c>
      <c r="B12" s="87"/>
    </row>
    <row r="13" spans="1:7" ht="15" customHeight="1" x14ac:dyDescent="0.3">
      <c r="A13" s="33" t="s">
        <v>18</v>
      </c>
      <c r="B13" s="33" t="s">
        <v>19</v>
      </c>
      <c r="C13" s="33" t="s">
        <v>20</v>
      </c>
      <c r="D13" s="33" t="s">
        <v>21</v>
      </c>
      <c r="E13" s="33" t="s">
        <v>22</v>
      </c>
      <c r="F13" s="33" t="s">
        <v>23</v>
      </c>
      <c r="G13" s="33" t="s">
        <v>24</v>
      </c>
    </row>
    <row r="14" spans="1:7" ht="15" customHeight="1" x14ac:dyDescent="0.3">
      <c r="A14" s="39" t="s">
        <v>25</v>
      </c>
      <c r="B14" s="40">
        <v>10742.65</v>
      </c>
      <c r="C14" s="40">
        <v>7494.78</v>
      </c>
      <c r="D14" s="40">
        <v>7050.15</v>
      </c>
      <c r="E14" s="40">
        <v>8439</v>
      </c>
      <c r="F14" s="40">
        <v>19423.29</v>
      </c>
      <c r="G14" s="46">
        <f>AVERAGE(B14:F14)</f>
        <v>10629.974</v>
      </c>
    </row>
    <row r="15" spans="1:7" ht="15" customHeight="1" x14ac:dyDescent="0.3">
      <c r="A15" s="39" t="s">
        <v>26</v>
      </c>
      <c r="B15" s="40">
        <v>0</v>
      </c>
      <c r="C15" s="40">
        <v>0</v>
      </c>
      <c r="D15" s="40">
        <v>0</v>
      </c>
      <c r="E15" s="40">
        <v>0</v>
      </c>
      <c r="F15" s="40">
        <v>0</v>
      </c>
      <c r="G15" s="46">
        <f>AVERAGE(B15:F15)</f>
        <v>0</v>
      </c>
    </row>
    <row r="16" spans="1:7" ht="15" customHeight="1" x14ac:dyDescent="0.3">
      <c r="A16" s="39" t="s">
        <v>27</v>
      </c>
      <c r="B16" s="40">
        <v>4258.75</v>
      </c>
      <c r="C16" s="40">
        <v>1924.72</v>
      </c>
      <c r="D16" s="40">
        <v>1322.17</v>
      </c>
      <c r="E16" s="40">
        <v>1766.87</v>
      </c>
      <c r="F16" s="40">
        <v>1981.83</v>
      </c>
      <c r="G16" s="46">
        <f>AVERAGE(B16:F16)</f>
        <v>2250.8679999999999</v>
      </c>
    </row>
    <row r="17" spans="1:7" ht="15" customHeight="1" x14ac:dyDescent="0.3">
      <c r="A17" s="39" t="s">
        <v>28</v>
      </c>
      <c r="B17" s="40">
        <v>1081.8800000000001</v>
      </c>
      <c r="C17" s="40">
        <v>916.22</v>
      </c>
      <c r="D17" s="40">
        <v>742.1</v>
      </c>
      <c r="E17" s="40">
        <v>680.85</v>
      </c>
      <c r="F17" s="40">
        <v>552.74</v>
      </c>
      <c r="G17" s="46">
        <f>AVERAGE(B17:F17)</f>
        <v>794.75800000000004</v>
      </c>
    </row>
    <row r="18" spans="1:7" ht="15" customHeight="1" x14ac:dyDescent="0.3">
      <c r="A18" s="39" t="s">
        <v>29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6">
        <f>AVERAGE(B18:F18)</f>
        <v>0</v>
      </c>
    </row>
    <row r="19" spans="1:7" ht="15" customHeight="1" x14ac:dyDescent="0.3">
      <c r="A19" s="41" t="s">
        <v>30</v>
      </c>
      <c r="B19" s="42">
        <f t="shared" ref="B19:G19" si="1">AVERAGE(B14:B18)</f>
        <v>3216.6559999999999</v>
      </c>
      <c r="C19" s="42">
        <f t="shared" si="1"/>
        <v>2067.1439999999998</v>
      </c>
      <c r="D19" s="42">
        <f t="shared" si="1"/>
        <v>1822.884</v>
      </c>
      <c r="E19" s="42">
        <f t="shared" si="1"/>
        <v>2177.3440000000001</v>
      </c>
      <c r="F19" s="42">
        <f t="shared" si="1"/>
        <v>4391.572000000001</v>
      </c>
      <c r="G19" s="42">
        <f t="shared" si="1"/>
        <v>2735.12</v>
      </c>
    </row>
    <row r="21" spans="1:7" ht="15" customHeight="1" x14ac:dyDescent="0.3">
      <c r="A21" s="84" t="s">
        <v>32</v>
      </c>
      <c r="B21" s="87"/>
    </row>
    <row r="22" spans="1:7" ht="15" customHeight="1" x14ac:dyDescent="0.3">
      <c r="A22" s="33" t="s">
        <v>18</v>
      </c>
      <c r="B22" s="33" t="s">
        <v>19</v>
      </c>
      <c r="C22" s="33" t="s">
        <v>20</v>
      </c>
      <c r="D22" s="33" t="s">
        <v>21</v>
      </c>
      <c r="E22" s="33" t="s">
        <v>22</v>
      </c>
      <c r="F22" s="33" t="s">
        <v>23</v>
      </c>
      <c r="G22" s="33" t="s">
        <v>24</v>
      </c>
    </row>
    <row r="23" spans="1:7" ht="15" customHeight="1" x14ac:dyDescent="0.3">
      <c r="A23" s="39" t="s">
        <v>25</v>
      </c>
      <c r="B23" s="40">
        <v>4.3899999999999997</v>
      </c>
      <c r="C23" s="40">
        <v>4.55</v>
      </c>
      <c r="D23" s="40">
        <v>5.24</v>
      </c>
      <c r="E23" s="40">
        <v>5.82</v>
      </c>
      <c r="F23" s="40">
        <v>5.05</v>
      </c>
      <c r="G23" s="46">
        <f>AVERAGE(B23:F23)</f>
        <v>5.01</v>
      </c>
    </row>
    <row r="24" spans="1:7" ht="15" customHeight="1" x14ac:dyDescent="0.3">
      <c r="A24" s="39" t="s">
        <v>26</v>
      </c>
      <c r="B24" s="40">
        <v>5.3</v>
      </c>
      <c r="C24" s="40">
        <v>5.61</v>
      </c>
      <c r="D24" s="40">
        <v>6.24</v>
      </c>
      <c r="E24" s="40">
        <v>5.88</v>
      </c>
      <c r="F24" s="40">
        <v>5.39</v>
      </c>
      <c r="G24" s="46">
        <f>AVERAGE(B24:F24)</f>
        <v>5.6839999999999993</v>
      </c>
    </row>
    <row r="25" spans="1:7" ht="15" customHeight="1" x14ac:dyDescent="0.3">
      <c r="A25" s="39" t="s">
        <v>27</v>
      </c>
      <c r="B25" s="40">
        <v>3.81</v>
      </c>
      <c r="C25" s="40">
        <v>3.84</v>
      </c>
      <c r="D25" s="40">
        <v>3.85</v>
      </c>
      <c r="E25" s="40">
        <v>4.97</v>
      </c>
      <c r="F25" s="40">
        <v>5.61</v>
      </c>
      <c r="G25" s="46">
        <f>AVERAGE(B25:F25)</f>
        <v>4.4159999999999995</v>
      </c>
    </row>
    <row r="26" spans="1:7" ht="15" customHeight="1" x14ac:dyDescent="0.3">
      <c r="A26" s="39" t="s">
        <v>28</v>
      </c>
      <c r="B26" s="40">
        <v>6.82</v>
      </c>
      <c r="C26" s="40">
        <v>5.36</v>
      </c>
      <c r="D26" s="40">
        <v>6</v>
      </c>
      <c r="E26" s="40">
        <v>6.87</v>
      </c>
      <c r="F26" s="40">
        <v>5.81</v>
      </c>
      <c r="G26" s="46">
        <f>AVERAGE(B26:F26)</f>
        <v>6.1719999999999997</v>
      </c>
    </row>
    <row r="27" spans="1:7" ht="15" customHeight="1" x14ac:dyDescent="0.3">
      <c r="A27" s="39" t="s">
        <v>29</v>
      </c>
      <c r="B27" s="40">
        <v>4.63</v>
      </c>
      <c r="C27" s="40">
        <v>4.25</v>
      </c>
      <c r="D27" s="40">
        <v>4.26</v>
      </c>
      <c r="E27" s="40">
        <v>4.6900000000000004</v>
      </c>
      <c r="F27" s="40">
        <v>5.22</v>
      </c>
      <c r="G27" s="46">
        <f>AVERAGE(B27:F27)</f>
        <v>4.6099999999999994</v>
      </c>
    </row>
    <row r="28" spans="1:7" ht="15" customHeight="1" x14ac:dyDescent="0.3">
      <c r="A28" s="41" t="s">
        <v>30</v>
      </c>
      <c r="B28" s="42">
        <f t="shared" ref="B28:G28" si="2">AVERAGE(B23:B27)</f>
        <v>4.99</v>
      </c>
      <c r="C28" s="42">
        <f t="shared" si="2"/>
        <v>4.7219999999999995</v>
      </c>
      <c r="D28" s="42">
        <f t="shared" si="2"/>
        <v>5.1179999999999994</v>
      </c>
      <c r="E28" s="42">
        <f t="shared" si="2"/>
        <v>5.6459999999999999</v>
      </c>
      <c r="F28" s="42">
        <f t="shared" si="2"/>
        <v>5.4159999999999995</v>
      </c>
      <c r="G28" s="42">
        <f t="shared" si="2"/>
        <v>5.1783999999999999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="115" zoomScaleNormal="115" workbookViewId="0">
      <selection sqref="A1:G1"/>
    </sheetView>
  </sheetViews>
  <sheetFormatPr defaultColWidth="8.6640625" defaultRowHeight="13.8" x14ac:dyDescent="0.25"/>
  <cols>
    <col min="1" max="1" width="25" style="49" customWidth="1"/>
    <col min="2" max="6" width="14" style="49" customWidth="1"/>
    <col min="7" max="7" width="14" style="50" customWidth="1"/>
    <col min="8" max="16384" width="8.6640625" style="49"/>
  </cols>
  <sheetData>
    <row r="1" spans="1:7" ht="17.25" customHeight="1" x14ac:dyDescent="0.3">
      <c r="A1" s="94" t="s">
        <v>33</v>
      </c>
      <c r="B1" s="94"/>
      <c r="C1" s="94"/>
      <c r="D1" s="94"/>
      <c r="E1" s="94"/>
      <c r="F1" s="94"/>
      <c r="G1" s="94"/>
    </row>
    <row r="3" spans="1:7" ht="15" customHeight="1" x14ac:dyDescent="0.25">
      <c r="A3" s="88" t="s">
        <v>17</v>
      </c>
      <c r="B3" s="89"/>
      <c r="C3" s="89"/>
    </row>
    <row r="4" spans="1:7" ht="15" customHeight="1" x14ac:dyDescent="0.25">
      <c r="A4" s="36" t="s">
        <v>18</v>
      </c>
      <c r="B4" s="36" t="s">
        <v>19</v>
      </c>
      <c r="C4" s="36" t="s">
        <v>20</v>
      </c>
      <c r="D4" s="36" t="s">
        <v>21</v>
      </c>
      <c r="E4" s="36" t="s">
        <v>22</v>
      </c>
      <c r="F4" s="36" t="s">
        <v>23</v>
      </c>
      <c r="G4" s="36" t="s">
        <v>24</v>
      </c>
    </row>
    <row r="5" spans="1:7" ht="15" customHeight="1" x14ac:dyDescent="0.25">
      <c r="A5" s="34" t="s">
        <v>34</v>
      </c>
      <c r="B5" s="35">
        <v>-43.794176156840102</v>
      </c>
      <c r="C5" s="35">
        <v>-27.279213363528999</v>
      </c>
      <c r="D5" s="35">
        <v>-13.8271995670283</v>
      </c>
      <c r="E5" s="35">
        <v>-379.76602150537599</v>
      </c>
      <c r="F5" s="35">
        <v>29.063016528925601</v>
      </c>
      <c r="G5" s="51">
        <f>AVERAGE(B5:F5)</f>
        <v>-87.120718812769567</v>
      </c>
    </row>
    <row r="6" spans="1:7" ht="15" customHeight="1" x14ac:dyDescent="0.25">
      <c r="A6" s="34" t="s">
        <v>35</v>
      </c>
      <c r="B6" s="35">
        <v>7.4745160294684796</v>
      </c>
      <c r="C6" s="35">
        <v>10.8209574835243</v>
      </c>
      <c r="D6" s="35">
        <v>9.8749203825357696</v>
      </c>
      <c r="E6" s="35">
        <v>8.0939342661618792</v>
      </c>
      <c r="F6" s="35">
        <v>8.6966305151637506</v>
      </c>
      <c r="G6" s="51">
        <f>AVERAGE(B6:F6)</f>
        <v>8.9921917353708345</v>
      </c>
    </row>
    <row r="7" spans="1:7" ht="15" customHeight="1" x14ac:dyDescent="0.25">
      <c r="A7" s="34" t="s">
        <v>36</v>
      </c>
      <c r="B7" s="35">
        <v>11.302888874825999</v>
      </c>
      <c r="C7" s="35">
        <v>27.3893826464315</v>
      </c>
      <c r="D7" s="35">
        <v>9.9193708694929992</v>
      </c>
      <c r="E7" s="35">
        <v>6.2477893621713703</v>
      </c>
      <c r="F7" s="35">
        <v>3.2514463332989498</v>
      </c>
      <c r="G7" s="51">
        <f>AVERAGE(B7:F7)</f>
        <v>11.622175617244164</v>
      </c>
    </row>
    <row r="8" spans="1:7" ht="15" customHeight="1" x14ac:dyDescent="0.25">
      <c r="A8" s="34" t="s">
        <v>37</v>
      </c>
      <c r="B8" s="35">
        <v>6.6570432799849897</v>
      </c>
      <c r="C8" s="35">
        <v>31.237318101455202</v>
      </c>
      <c r="D8" s="35">
        <v>30.9265675842055</v>
      </c>
      <c r="E8" s="35">
        <v>3.86526558556357</v>
      </c>
      <c r="F8" s="35">
        <v>1.36399228989489</v>
      </c>
      <c r="G8" s="51">
        <f>AVERAGE(B8:F8)</f>
        <v>14.810037368220833</v>
      </c>
    </row>
    <row r="9" spans="1:7" ht="15" customHeight="1" x14ac:dyDescent="0.25">
      <c r="A9" s="34" t="s">
        <v>38</v>
      </c>
      <c r="B9" s="35">
        <v>-10.7654697879948</v>
      </c>
      <c r="C9" s="35">
        <v>-13.3012289763832</v>
      </c>
      <c r="D9" s="35">
        <v>-11.267680176331901</v>
      </c>
      <c r="E9" s="35">
        <v>-11.396931291182</v>
      </c>
      <c r="F9" s="35">
        <v>-14.7112645131826</v>
      </c>
      <c r="G9" s="51">
        <f>AVERAGE(B9:F9)</f>
        <v>-12.2885149490149</v>
      </c>
    </row>
    <row r="10" spans="1:7" ht="15" customHeight="1" x14ac:dyDescent="0.25">
      <c r="A10" s="37" t="s">
        <v>30</v>
      </c>
      <c r="B10" s="38">
        <f t="shared" ref="B10:G10" si="0">AVERAGE(B5:B9)</f>
        <v>-5.825039552111086</v>
      </c>
      <c r="C10" s="38">
        <f t="shared" si="0"/>
        <v>5.7734431782997602</v>
      </c>
      <c r="D10" s="38">
        <f t="shared" si="0"/>
        <v>5.1251958185748139</v>
      </c>
      <c r="E10" s="38">
        <f t="shared" si="0"/>
        <v>-74.591192716532234</v>
      </c>
      <c r="F10" s="38">
        <f t="shared" si="0"/>
        <v>5.5327642308201179</v>
      </c>
      <c r="G10" s="38">
        <f t="shared" si="0"/>
        <v>-12.796965808189725</v>
      </c>
    </row>
    <row r="12" spans="1:7" ht="15" customHeight="1" x14ac:dyDescent="0.25">
      <c r="A12" s="88" t="s">
        <v>31</v>
      </c>
      <c r="B12" s="89"/>
    </row>
    <row r="13" spans="1:7" ht="15" customHeight="1" x14ac:dyDescent="0.25">
      <c r="A13" s="36" t="s">
        <v>18</v>
      </c>
      <c r="B13" s="36" t="s">
        <v>19</v>
      </c>
      <c r="C13" s="36" t="s">
        <v>20</v>
      </c>
      <c r="D13" s="36" t="s">
        <v>21</v>
      </c>
      <c r="E13" s="36" t="s">
        <v>22</v>
      </c>
      <c r="F13" s="36" t="s">
        <v>23</v>
      </c>
      <c r="G13" s="36" t="s">
        <v>24</v>
      </c>
    </row>
    <row r="14" spans="1:7" ht="15" customHeight="1" x14ac:dyDescent="0.25">
      <c r="A14" s="34" t="s">
        <v>34</v>
      </c>
      <c r="B14" s="35">
        <v>29.65</v>
      </c>
      <c r="C14" s="35">
        <v>34.21</v>
      </c>
      <c r="D14" s="35">
        <v>27.43</v>
      </c>
      <c r="E14" s="35">
        <v>24.99</v>
      </c>
      <c r="F14" s="35">
        <v>23.06</v>
      </c>
      <c r="G14" s="51">
        <f>AVERAGE(B14:F14)</f>
        <v>27.867999999999995</v>
      </c>
    </row>
    <row r="15" spans="1:7" ht="15" customHeight="1" x14ac:dyDescent="0.25">
      <c r="A15" s="34" t="s">
        <v>35</v>
      </c>
      <c r="B15" s="35">
        <v>11.27</v>
      </c>
      <c r="C15" s="35">
        <v>10.39</v>
      </c>
      <c r="D15" s="35">
        <v>9.57</v>
      </c>
      <c r="E15" s="35">
        <v>9.76</v>
      </c>
      <c r="F15" s="35">
        <v>11.39</v>
      </c>
      <c r="G15" s="51">
        <f>AVERAGE(B15:F15)</f>
        <v>10.476000000000001</v>
      </c>
    </row>
    <row r="16" spans="1:7" ht="15" customHeight="1" x14ac:dyDescent="0.25">
      <c r="A16" s="34" t="s">
        <v>36</v>
      </c>
      <c r="B16" s="35">
        <v>25.54</v>
      </c>
      <c r="C16" s="35">
        <v>26.35</v>
      </c>
      <c r="D16" s="35">
        <v>26.06</v>
      </c>
      <c r="E16" s="35">
        <v>26.94</v>
      </c>
      <c r="F16" s="35">
        <v>18.57</v>
      </c>
      <c r="G16" s="51">
        <f>AVERAGE(B16:F16)</f>
        <v>24.692</v>
      </c>
    </row>
    <row r="17" spans="1:7" ht="15" customHeight="1" x14ac:dyDescent="0.25">
      <c r="A17" s="34" t="s">
        <v>37</v>
      </c>
      <c r="B17" s="35">
        <v>16.690000000000001</v>
      </c>
      <c r="C17" s="35">
        <v>15.05</v>
      </c>
      <c r="D17" s="35">
        <v>15.44</v>
      </c>
      <c r="E17" s="35">
        <v>11.27</v>
      </c>
      <c r="F17" s="35">
        <v>11.21</v>
      </c>
      <c r="G17" s="51">
        <f>AVERAGE(B17:F17)</f>
        <v>13.931999999999999</v>
      </c>
    </row>
    <row r="18" spans="1:7" ht="15" customHeight="1" x14ac:dyDescent="0.25">
      <c r="A18" s="34" t="s">
        <v>38</v>
      </c>
      <c r="B18" s="35">
        <v>21.01</v>
      </c>
      <c r="C18" s="35">
        <v>23.18</v>
      </c>
      <c r="D18" s="35">
        <v>21.34</v>
      </c>
      <c r="E18" s="35">
        <v>18.52</v>
      </c>
      <c r="F18" s="35">
        <v>14.54</v>
      </c>
      <c r="G18" s="51">
        <f>AVERAGE(B18:F18)</f>
        <v>19.718</v>
      </c>
    </row>
    <row r="19" spans="1:7" ht="15" customHeight="1" x14ac:dyDescent="0.25">
      <c r="A19" s="37" t="s">
        <v>30</v>
      </c>
      <c r="B19" s="38">
        <f t="shared" ref="B19:G19" si="1">AVERAGE(B14:B18)</f>
        <v>20.832000000000001</v>
      </c>
      <c r="C19" s="38">
        <f t="shared" si="1"/>
        <v>21.836000000000002</v>
      </c>
      <c r="D19" s="38">
        <f t="shared" si="1"/>
        <v>19.968</v>
      </c>
      <c r="E19" s="38">
        <f t="shared" si="1"/>
        <v>18.295999999999999</v>
      </c>
      <c r="F19" s="38">
        <f t="shared" si="1"/>
        <v>15.754000000000001</v>
      </c>
      <c r="G19" s="38">
        <f t="shared" si="1"/>
        <v>19.337199999999999</v>
      </c>
    </row>
    <row r="21" spans="1:7" ht="15" customHeight="1" x14ac:dyDescent="0.25">
      <c r="A21" s="88" t="s">
        <v>32</v>
      </c>
      <c r="B21" s="89"/>
    </row>
    <row r="22" spans="1:7" ht="15" customHeight="1" x14ac:dyDescent="0.25">
      <c r="A22" s="36" t="s">
        <v>18</v>
      </c>
      <c r="B22" s="36" t="s">
        <v>19</v>
      </c>
      <c r="C22" s="36" t="s">
        <v>20</v>
      </c>
      <c r="D22" s="36" t="s">
        <v>21</v>
      </c>
      <c r="E22" s="36" t="s">
        <v>22</v>
      </c>
      <c r="F22" s="36" t="s">
        <v>23</v>
      </c>
      <c r="G22" s="36" t="s">
        <v>24</v>
      </c>
    </row>
    <row r="23" spans="1:7" ht="15" customHeight="1" x14ac:dyDescent="0.25">
      <c r="A23" s="34" t="s">
        <v>34</v>
      </c>
      <c r="B23" s="35">
        <v>27.27</v>
      </c>
      <c r="C23" s="35">
        <v>35.69</v>
      </c>
      <c r="D23" s="35">
        <v>44.13</v>
      </c>
      <c r="E23" s="35">
        <v>53.4</v>
      </c>
      <c r="F23" s="35">
        <v>43.26</v>
      </c>
      <c r="G23" s="51">
        <f>AVERAGE(B23:F23)</f>
        <v>40.75</v>
      </c>
    </row>
    <row r="24" spans="1:7" ht="15" customHeight="1" x14ac:dyDescent="0.25">
      <c r="A24" s="34" t="s">
        <v>35</v>
      </c>
      <c r="B24" s="35">
        <v>22.67</v>
      </c>
      <c r="C24" s="35">
        <v>22.99</v>
      </c>
      <c r="D24" s="35">
        <v>24.01</v>
      </c>
      <c r="E24" s="35">
        <v>21.36</v>
      </c>
      <c r="F24" s="35">
        <v>16.86</v>
      </c>
      <c r="G24" s="51">
        <f>AVERAGE(B24:F24)</f>
        <v>21.577999999999999</v>
      </c>
    </row>
    <row r="25" spans="1:7" ht="15" customHeight="1" x14ac:dyDescent="0.25">
      <c r="A25" s="34" t="s">
        <v>36</v>
      </c>
      <c r="B25" s="35">
        <v>22.71</v>
      </c>
      <c r="C25" s="35">
        <v>22.92</v>
      </c>
      <c r="D25" s="35">
        <v>22.13</v>
      </c>
      <c r="E25" s="35">
        <v>15.66</v>
      </c>
      <c r="F25" s="35">
        <v>12.49</v>
      </c>
      <c r="G25" s="51">
        <f>AVERAGE(B25:F25)</f>
        <v>19.181999999999999</v>
      </c>
    </row>
    <row r="26" spans="1:7" ht="15" customHeight="1" x14ac:dyDescent="0.25">
      <c r="A26" s="34" t="s">
        <v>37</v>
      </c>
      <c r="B26" s="35">
        <v>17.32</v>
      </c>
      <c r="C26" s="35">
        <v>18.36</v>
      </c>
      <c r="D26" s="35">
        <v>15.03</v>
      </c>
      <c r="E26" s="35">
        <v>14.2</v>
      </c>
      <c r="F26" s="35">
        <v>44.18</v>
      </c>
      <c r="G26" s="51">
        <f>AVERAGE(B26:F26)</f>
        <v>21.818000000000001</v>
      </c>
    </row>
    <row r="27" spans="1:7" ht="15" customHeight="1" x14ac:dyDescent="0.25">
      <c r="A27" s="34" t="s">
        <v>38</v>
      </c>
      <c r="B27" s="35">
        <v>28.08</v>
      </c>
      <c r="C27" s="35">
        <v>28.16</v>
      </c>
      <c r="D27" s="35">
        <v>27.68</v>
      </c>
      <c r="E27" s="35">
        <v>22.84</v>
      </c>
      <c r="F27" s="35">
        <v>15.57</v>
      </c>
      <c r="G27" s="51">
        <f>AVERAGE(B27:F27)</f>
        <v>24.465999999999998</v>
      </c>
    </row>
    <row r="28" spans="1:7" ht="15" customHeight="1" x14ac:dyDescent="0.25">
      <c r="A28" s="37" t="s">
        <v>30</v>
      </c>
      <c r="B28" s="38">
        <f t="shared" ref="B28:G28" si="2">AVERAGE(B23:B27)</f>
        <v>23.61</v>
      </c>
      <c r="C28" s="38">
        <f t="shared" si="2"/>
        <v>25.624000000000002</v>
      </c>
      <c r="D28" s="38">
        <f t="shared" si="2"/>
        <v>26.595999999999997</v>
      </c>
      <c r="E28" s="38">
        <f t="shared" si="2"/>
        <v>25.491999999999997</v>
      </c>
      <c r="F28" s="38">
        <f t="shared" si="2"/>
        <v>26.471999999999998</v>
      </c>
      <c r="G28" s="38">
        <f t="shared" si="2"/>
        <v>25.558799999999998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opLeftCell="A15" zoomScale="115" zoomScaleNormal="115" workbookViewId="0">
      <selection activeCell="A27" sqref="A27"/>
    </sheetView>
  </sheetViews>
  <sheetFormatPr defaultColWidth="8.6640625" defaultRowHeight="13.8" x14ac:dyDescent="0.25"/>
  <cols>
    <col min="1" max="1" width="42.109375" style="49" customWidth="1"/>
    <col min="2" max="3" width="18" style="49" customWidth="1"/>
    <col min="4" max="4" width="20.6640625" style="49" bestFit="1" customWidth="1"/>
    <col min="5" max="16384" width="8.6640625" style="49"/>
  </cols>
  <sheetData>
    <row r="1" spans="1:4" ht="17.399999999999999" x14ac:dyDescent="0.3">
      <c r="A1" s="94" t="s">
        <v>39</v>
      </c>
      <c r="B1" s="94"/>
      <c r="C1" s="94"/>
      <c r="D1" s="94"/>
    </row>
    <row r="3" spans="1:4" x14ac:dyDescent="0.25">
      <c r="A3" s="88" t="s">
        <v>40</v>
      </c>
      <c r="B3" s="89"/>
    </row>
    <row r="4" spans="1:4" x14ac:dyDescent="0.25">
      <c r="A4" s="36" t="s">
        <v>9</v>
      </c>
      <c r="B4" s="36" t="s">
        <v>10</v>
      </c>
      <c r="C4" s="36" t="s">
        <v>41</v>
      </c>
      <c r="D4" s="36" t="s">
        <v>42</v>
      </c>
    </row>
    <row r="5" spans="1:4" x14ac:dyDescent="0.25">
      <c r="A5" s="37" t="s">
        <v>43</v>
      </c>
      <c r="B5" s="51">
        <f>'IT Sector Analysis'!G10</f>
        <v>3.1804113249366712</v>
      </c>
      <c r="C5" s="51">
        <f>'Auto Sector Analysis'!G10</f>
        <v>-12.796965808189725</v>
      </c>
      <c r="D5" s="48" t="str">
        <f>IF(B5&gt;C5,"IT Sector","Automobile Sector")</f>
        <v>IT Sector</v>
      </c>
    </row>
    <row r="6" spans="1:4" x14ac:dyDescent="0.25">
      <c r="A6" s="37" t="s">
        <v>44</v>
      </c>
      <c r="B6" s="51">
        <f>'IT Sector Analysis'!G19</f>
        <v>2735.12</v>
      </c>
      <c r="C6" s="51">
        <f>'Auto Sector Analysis'!G19</f>
        <v>19.337199999999999</v>
      </c>
      <c r="D6" s="48" t="str">
        <f t="shared" ref="D6:D7" si="0">IF(B6&gt;C6,"IT Sector","Automobile Sector")</f>
        <v>IT Sector</v>
      </c>
    </row>
    <row r="7" spans="1:4" x14ac:dyDescent="0.25">
      <c r="A7" s="37" t="s">
        <v>45</v>
      </c>
      <c r="B7" s="51">
        <f>'IT Sector Analysis'!G28</f>
        <v>5.1783999999999999</v>
      </c>
      <c r="C7" s="51">
        <f>'Auto Sector Analysis'!G28</f>
        <v>25.558799999999998</v>
      </c>
      <c r="D7" s="48" t="str">
        <f t="shared" si="0"/>
        <v>Automobile Sector</v>
      </c>
    </row>
    <row r="9" spans="1:4" x14ac:dyDescent="0.25">
      <c r="A9" s="88" t="s">
        <v>46</v>
      </c>
    </row>
    <row r="11" spans="1:4" x14ac:dyDescent="0.25">
      <c r="A11" s="90" t="s">
        <v>47</v>
      </c>
    </row>
    <row r="12" spans="1:4" x14ac:dyDescent="0.25">
      <c r="A12" s="36" t="s">
        <v>48</v>
      </c>
      <c r="B12" s="36" t="s">
        <v>49</v>
      </c>
      <c r="C12" s="36" t="s">
        <v>50</v>
      </c>
      <c r="D12" s="36" t="s">
        <v>42</v>
      </c>
    </row>
    <row r="13" spans="1:4" x14ac:dyDescent="0.25">
      <c r="A13" s="34" t="s">
        <v>19</v>
      </c>
      <c r="B13" s="47">
        <v>3.7075863191279668</v>
      </c>
      <c r="C13" s="47">
        <v>-5.8250395521110896</v>
      </c>
      <c r="D13" s="48" t="str">
        <f>IF(B13&gt;C13,"IT Sector","Automobile Sector")</f>
        <v>IT Sector</v>
      </c>
    </row>
    <row r="14" spans="1:4" x14ac:dyDescent="0.25">
      <c r="A14" s="34" t="s">
        <v>20</v>
      </c>
      <c r="B14" s="47">
        <v>3.3486301234527218</v>
      </c>
      <c r="C14" s="47">
        <v>5.7734431782997602</v>
      </c>
      <c r="D14" s="48" t="str">
        <f t="shared" ref="D14:D17" si="1">IF(B14&gt;C14,"IT Sector","Automobile Sector")</f>
        <v>Automobile Sector</v>
      </c>
    </row>
    <row r="15" spans="1:4" x14ac:dyDescent="0.25">
      <c r="A15" s="34" t="s">
        <v>21</v>
      </c>
      <c r="B15" s="47">
        <v>3.7224136301617534</v>
      </c>
      <c r="C15" s="47">
        <v>5.1251958185748139</v>
      </c>
      <c r="D15" s="48" t="str">
        <f t="shared" si="1"/>
        <v>Automobile Sector</v>
      </c>
    </row>
    <row r="16" spans="1:4" x14ac:dyDescent="0.25">
      <c r="A16" s="34" t="s">
        <v>22</v>
      </c>
      <c r="B16" s="47">
        <v>2.8712198927766694</v>
      </c>
      <c r="C16" s="47">
        <v>-74.591192716532234</v>
      </c>
      <c r="D16" s="48" t="str">
        <f t="shared" si="1"/>
        <v>IT Sector</v>
      </c>
    </row>
    <row r="17" spans="1:4" x14ac:dyDescent="0.25">
      <c r="A17" s="34" t="s">
        <v>23</v>
      </c>
      <c r="B17" s="47">
        <v>2.252206659164246</v>
      </c>
      <c r="C17" s="47">
        <v>5.5327642308201179</v>
      </c>
      <c r="D17" s="48" t="str">
        <f t="shared" si="1"/>
        <v>Automobile Sector</v>
      </c>
    </row>
    <row r="19" spans="1:4" x14ac:dyDescent="0.25">
      <c r="A19" s="90" t="s">
        <v>51</v>
      </c>
    </row>
    <row r="20" spans="1:4" x14ac:dyDescent="0.25">
      <c r="A20" s="36" t="s">
        <v>48</v>
      </c>
      <c r="B20" s="36" t="s">
        <v>49</v>
      </c>
      <c r="C20" s="36" t="s">
        <v>50</v>
      </c>
      <c r="D20" s="36" t="s">
        <v>42</v>
      </c>
    </row>
    <row r="21" spans="1:4" x14ac:dyDescent="0.25">
      <c r="A21" s="34" t="s">
        <v>19</v>
      </c>
      <c r="B21" s="47">
        <v>3216.6559999999999</v>
      </c>
      <c r="C21" s="47">
        <v>20.832000000000001</v>
      </c>
      <c r="D21" s="48" t="str">
        <f>IF(B21&gt;C21,"IT Sector","Automobile Sector")</f>
        <v>IT Sector</v>
      </c>
    </row>
    <row r="22" spans="1:4" x14ac:dyDescent="0.25">
      <c r="A22" s="34" t="s">
        <v>20</v>
      </c>
      <c r="B22" s="47">
        <v>2067.1439999999998</v>
      </c>
      <c r="C22" s="47">
        <v>21.836000000000002</v>
      </c>
      <c r="D22" s="48" t="str">
        <f t="shared" ref="D22:D25" si="2">IF(B22&gt;C22,"IT Sector","Automobile Sector")</f>
        <v>IT Sector</v>
      </c>
    </row>
    <row r="23" spans="1:4" x14ac:dyDescent="0.25">
      <c r="A23" s="34" t="s">
        <v>21</v>
      </c>
      <c r="B23" s="47">
        <v>1822.884</v>
      </c>
      <c r="C23" s="47">
        <v>19.968</v>
      </c>
      <c r="D23" s="48" t="str">
        <f t="shared" si="2"/>
        <v>IT Sector</v>
      </c>
    </row>
    <row r="24" spans="1:4" x14ac:dyDescent="0.25">
      <c r="A24" s="34" t="s">
        <v>22</v>
      </c>
      <c r="B24" s="47">
        <v>2177.3440000000001</v>
      </c>
      <c r="C24" s="47">
        <v>18.295999999999999</v>
      </c>
      <c r="D24" s="48" t="str">
        <f t="shared" si="2"/>
        <v>IT Sector</v>
      </c>
    </row>
    <row r="25" spans="1:4" x14ac:dyDescent="0.25">
      <c r="A25" s="34" t="s">
        <v>23</v>
      </c>
      <c r="B25" s="47">
        <v>4391.572000000001</v>
      </c>
      <c r="C25" s="47">
        <v>15.754000000000001</v>
      </c>
      <c r="D25" s="48" t="str">
        <f t="shared" si="2"/>
        <v>IT Sector</v>
      </c>
    </row>
    <row r="27" spans="1:4" x14ac:dyDescent="0.25">
      <c r="A27" s="90" t="s">
        <v>52</v>
      </c>
    </row>
    <row r="28" spans="1:4" x14ac:dyDescent="0.25">
      <c r="A28" s="36" t="s">
        <v>48</v>
      </c>
      <c r="B28" s="36" t="s">
        <v>49</v>
      </c>
      <c r="C28" s="36" t="s">
        <v>50</v>
      </c>
      <c r="D28" s="36" t="s">
        <v>42</v>
      </c>
    </row>
    <row r="29" spans="1:4" x14ac:dyDescent="0.25">
      <c r="A29" s="34" t="s">
        <v>19</v>
      </c>
      <c r="B29" s="82">
        <v>4.99</v>
      </c>
      <c r="C29" s="82">
        <v>23.61</v>
      </c>
      <c r="D29" s="48" t="str">
        <f>IF(B29&gt;C29,"IT Sector","Automobile Sector")</f>
        <v>Automobile Sector</v>
      </c>
    </row>
    <row r="30" spans="1:4" x14ac:dyDescent="0.25">
      <c r="A30" s="34" t="s">
        <v>20</v>
      </c>
      <c r="B30" s="82">
        <v>4.7219999999999995</v>
      </c>
      <c r="C30" s="82">
        <v>25.624000000000002</v>
      </c>
      <c r="D30" s="48" t="str">
        <f t="shared" ref="D30:D33" si="3">IF(B30&gt;C30,"IT Sector","Automobile Sector")</f>
        <v>Automobile Sector</v>
      </c>
    </row>
    <row r="31" spans="1:4" x14ac:dyDescent="0.25">
      <c r="A31" s="34" t="s">
        <v>21</v>
      </c>
      <c r="B31" s="82">
        <v>5.1179999999999994</v>
      </c>
      <c r="C31" s="82">
        <v>26.595999999999997</v>
      </c>
      <c r="D31" s="48" t="str">
        <f t="shared" si="3"/>
        <v>Automobile Sector</v>
      </c>
    </row>
    <row r="32" spans="1:4" x14ac:dyDescent="0.25">
      <c r="A32" s="34" t="s">
        <v>22</v>
      </c>
      <c r="B32" s="82">
        <v>5.6459999999999999</v>
      </c>
      <c r="C32" s="82">
        <v>25.491999999999997</v>
      </c>
      <c r="D32" s="48" t="str">
        <f t="shared" si="3"/>
        <v>Automobile Sector</v>
      </c>
    </row>
    <row r="33" spans="1:4" x14ac:dyDescent="0.25">
      <c r="A33" s="34" t="s">
        <v>23</v>
      </c>
      <c r="B33" s="82">
        <v>5.4159999999999995</v>
      </c>
      <c r="C33" s="82">
        <v>26.471999999999998</v>
      </c>
      <c r="D33" s="48" t="str">
        <f t="shared" si="3"/>
        <v>Automobile Sector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"/>
  <sheetViews>
    <sheetView zoomScaleNormal="100" workbookViewId="0">
      <selection activeCell="J40" sqref="J40"/>
    </sheetView>
  </sheetViews>
  <sheetFormatPr defaultColWidth="8.6640625" defaultRowHeight="13.8" x14ac:dyDescent="0.25"/>
  <cols>
    <col min="1" max="1" width="35" style="49" customWidth="1"/>
    <col min="2" max="7" width="15" style="49" customWidth="1"/>
    <col min="8" max="16384" width="8.6640625" style="49"/>
  </cols>
  <sheetData>
    <row r="1" spans="1:7" ht="17.25" customHeight="1" x14ac:dyDescent="0.3">
      <c r="A1" s="94" t="s">
        <v>53</v>
      </c>
      <c r="B1" s="94"/>
      <c r="C1" s="94"/>
      <c r="D1" s="94"/>
      <c r="E1" s="94"/>
      <c r="F1" s="94"/>
      <c r="G1" s="94"/>
    </row>
    <row r="3" spans="1:7" ht="15" customHeight="1" x14ac:dyDescent="0.25">
      <c r="A3" s="88" t="s">
        <v>43</v>
      </c>
    </row>
    <row r="4" spans="1:7" ht="15" customHeight="1" x14ac:dyDescent="0.3">
      <c r="A4" s="33" t="s">
        <v>54</v>
      </c>
      <c r="B4" s="33" t="s">
        <v>25</v>
      </c>
      <c r="C4" s="33" t="s">
        <v>26</v>
      </c>
      <c r="D4" s="33" t="s">
        <v>27</v>
      </c>
      <c r="E4" s="33" t="s">
        <v>28</v>
      </c>
      <c r="F4" s="33" t="s">
        <v>29</v>
      </c>
      <c r="G4" s="33" t="s">
        <v>55</v>
      </c>
    </row>
    <row r="5" spans="1:7" ht="15" customHeight="1" x14ac:dyDescent="0.25">
      <c r="A5" s="39" t="s">
        <v>56</v>
      </c>
      <c r="B5" s="80">
        <f>AVERAGE('IT Sector Analysis'!B5:F5)</f>
        <v>3.3560182127449965</v>
      </c>
      <c r="C5" s="80">
        <f>AVERAGE('IT Sector Analysis'!C5:G5)</f>
        <v>3.2311899181309194</v>
      </c>
      <c r="D5" s="80">
        <f>AVERAGE('IT Sector Analysis'!D5:H5)</f>
        <v>3.0634247928079894</v>
      </c>
      <c r="E5" s="80">
        <f>AVERAGE('IT Sector Analysis'!E5:I5)</f>
        <v>2.8976727627762826</v>
      </c>
      <c r="F5" s="80">
        <f>AVERAGE('IT Sector Analysis'!F5:J5)</f>
        <v>2.9222939054939432</v>
      </c>
      <c r="G5" s="80">
        <f>AVERAGE('IT Sector Analysis'!B10:F10)</f>
        <v>3.1804113249366712</v>
      </c>
    </row>
    <row r="6" spans="1:7" ht="15" customHeight="1" x14ac:dyDescent="0.25">
      <c r="A6" s="39" t="s">
        <v>57</v>
      </c>
      <c r="B6" s="80">
        <f>MEDIAN('IT Sector Analysis'!B5:F5)</f>
        <v>3.5606808829031098</v>
      </c>
      <c r="C6" s="80">
        <f>MEDIAN('IT Sector Analysis'!C5:G5)</f>
        <v>3.3560182127449965</v>
      </c>
      <c r="D6" s="80">
        <f>MEDIAN('IT Sector Analysis'!D5:H5)</f>
        <v>3.1022243450429783</v>
      </c>
      <c r="E6" s="80">
        <f>MEDIAN('IT Sector Analysis'!E5:I5)</f>
        <v>2.8484304773409601</v>
      </c>
      <c r="F6" s="80">
        <f>MEDIAN('IT Sector Analysis'!F5:J5)</f>
        <v>2.9222939054939432</v>
      </c>
      <c r="G6" s="80">
        <f>MEDIAN('IT Sector Analysis'!B10:F10)</f>
        <v>3.3486301234527218</v>
      </c>
    </row>
    <row r="7" spans="1:7" ht="15" customHeight="1" x14ac:dyDescent="0.25">
      <c r="A7" s="39" t="s">
        <v>58</v>
      </c>
      <c r="B7" s="80">
        <f>_xlfn.STDEV.S('IT Sector Analysis'!B5:F5)</f>
        <v>0.65953040462681656</v>
      </c>
      <c r="C7" s="80">
        <f>_xlfn.STDEV.S('IT Sector Analysis'!C5:G5)</f>
        <v>0.564016472370511</v>
      </c>
      <c r="D7" s="80">
        <f>_xlfn.STDEV.S('IT Sector Analysis'!D5:H5)</f>
        <v>0.48633170399386494</v>
      </c>
      <c r="E7" s="80">
        <f>_xlfn.STDEV.S('IT Sector Analysis'!E5:I5)</f>
        <v>0.43581576004841249</v>
      </c>
      <c r="F7" s="80">
        <f>_xlfn.STDEV.S('IT Sector Analysis'!F5:J5)</f>
        <v>0.61337879764531766</v>
      </c>
      <c r="G7" s="80">
        <f>_xlfn.STDEV.S('IT Sector Analysis'!B10:F10)</f>
        <v>0.62392723550646134</v>
      </c>
    </row>
    <row r="8" spans="1:7" ht="15" customHeight="1" x14ac:dyDescent="0.25">
      <c r="A8" s="39" t="s">
        <v>59</v>
      </c>
      <c r="B8" s="80">
        <f>MIN('IT Sector Analysis'!B5:F5)</f>
        <v>2.4885695982428899</v>
      </c>
      <c r="C8" s="80">
        <f>MIN('IT Sector Analysis'!C5:G5)</f>
        <v>2.4885695982428899</v>
      </c>
      <c r="D8" s="80">
        <f>MIN('IT Sector Analysis'!D5:H5)</f>
        <v>2.4885695982428899</v>
      </c>
      <c r="E8" s="80">
        <f>MIN('IT Sector Analysis'!E5:I5)</f>
        <v>2.4885695982428899</v>
      </c>
      <c r="F8" s="80">
        <f>MIN('IT Sector Analysis'!F5:J5)</f>
        <v>2.4885695982428899</v>
      </c>
      <c r="G8" s="80">
        <f>MIN('IT Sector Analysis'!B10:F10)</f>
        <v>2.252206659164246</v>
      </c>
    </row>
    <row r="9" spans="1:7" ht="15" customHeight="1" x14ac:dyDescent="0.25">
      <c r="A9" s="39" t="s">
        <v>60</v>
      </c>
      <c r="B9" s="80">
        <f>MAX('IT Sector Analysis'!B5:F5)</f>
        <v>3.98015968581538</v>
      </c>
      <c r="C9" s="80">
        <f>MAX('IT Sector Analysis'!C5:G5)</f>
        <v>3.9022504194226402</v>
      </c>
      <c r="D9" s="80">
        <f>MAX('IT Sector Analysis'!D5:H5)</f>
        <v>3.5606808829031098</v>
      </c>
      <c r="E9" s="80">
        <f>MAX('IT Sector Analysis'!E5:I5)</f>
        <v>3.3560182127449965</v>
      </c>
      <c r="F9" s="80">
        <f>MAX('IT Sector Analysis'!F5:J5)</f>
        <v>3.3560182127449965</v>
      </c>
      <c r="G9" s="81">
        <f>MAX('IT Sector Analysis'!B10:F10)</f>
        <v>3.7224136301617534</v>
      </c>
    </row>
    <row r="10" spans="1:7" ht="15" customHeight="1" x14ac:dyDescent="0.25">
      <c r="A10" s="39" t="s">
        <v>61</v>
      </c>
      <c r="B10" s="80">
        <f>MAX('IT Sector Analysis'!B5:F5)-MIN('IT Sector Analysis'!B5:F5)</f>
        <v>1.4915900875724901</v>
      </c>
      <c r="C10" s="80">
        <v>2.23094830397913</v>
      </c>
      <c r="D10" s="80">
        <v>1.39100678157672</v>
      </c>
      <c r="E10" s="80">
        <v>0.299854538803006</v>
      </c>
      <c r="F10" s="80">
        <v>4.2509223500025302</v>
      </c>
      <c r="G10" s="80">
        <f>MAX('IT Sector Analysis'!B10:F10)-MIN('IT Sector Analysis'!B10:F10)</f>
        <v>1.4702069709975074</v>
      </c>
    </row>
    <row r="13" spans="1:7" ht="15" customHeight="1" x14ac:dyDescent="0.25">
      <c r="A13" s="88" t="s">
        <v>44</v>
      </c>
    </row>
    <row r="14" spans="1:7" ht="15" customHeight="1" x14ac:dyDescent="0.3">
      <c r="A14" s="33" t="s">
        <v>54</v>
      </c>
      <c r="B14" s="33" t="s">
        <v>25</v>
      </c>
      <c r="C14" s="33" t="s">
        <v>26</v>
      </c>
      <c r="D14" s="33" t="s">
        <v>27</v>
      </c>
      <c r="E14" s="33" t="s">
        <v>28</v>
      </c>
      <c r="F14" s="33" t="s">
        <v>29</v>
      </c>
      <c r="G14" s="33" t="s">
        <v>55</v>
      </c>
    </row>
    <row r="15" spans="1:7" ht="15" customHeight="1" x14ac:dyDescent="0.25">
      <c r="A15" s="39" t="s">
        <v>56</v>
      </c>
      <c r="B15" s="80">
        <f>AVERAGE('IT Sector Analysis'!B14:F14)</f>
        <v>10629.974</v>
      </c>
      <c r="C15" s="80">
        <f>AVERAGE('IT Sector Analysis'!C14:G14)</f>
        <v>10607.4388</v>
      </c>
      <c r="D15" s="80">
        <f>AVERAGE('IT Sector Analysis'!D14:H14)</f>
        <v>11385.603500000001</v>
      </c>
      <c r="E15" s="80">
        <f>AVERAGE('IT Sector Analysis'!E14:I14)</f>
        <v>12830.754666666668</v>
      </c>
      <c r="F15" s="80">
        <f>AVERAGE('IT Sector Analysis'!F14:J14)</f>
        <v>15026.632000000001</v>
      </c>
      <c r="G15" s="80">
        <f>AVERAGE('IT Sector Analysis'!B19:F19)</f>
        <v>2735.12</v>
      </c>
    </row>
    <row r="16" spans="1:7" ht="15" customHeight="1" x14ac:dyDescent="0.25">
      <c r="A16" s="39" t="s">
        <v>57</v>
      </c>
      <c r="B16" s="80">
        <f>MEDIAN('IT Sector Analysis'!B14:F14)</f>
        <v>8439</v>
      </c>
      <c r="C16" s="80">
        <f>MEDIAN('IT Sector Analysis'!C14:G14)</f>
        <v>8439</v>
      </c>
      <c r="D16" s="80">
        <f>MEDIAN('IT Sector Analysis'!D14:H14)</f>
        <v>9534.487000000001</v>
      </c>
      <c r="E16" s="80">
        <f>MEDIAN('IT Sector Analysis'!E14:I14)</f>
        <v>10629.974</v>
      </c>
      <c r="F16" s="80">
        <f>MEDIAN('IT Sector Analysis'!F14:J14)</f>
        <v>15026.632000000001</v>
      </c>
      <c r="G16" s="80">
        <f>MEDIAN('IT Sector Analysis'!B19:F19)</f>
        <v>2177.3440000000001</v>
      </c>
    </row>
    <row r="17" spans="1:7" ht="15" customHeight="1" x14ac:dyDescent="0.25">
      <c r="A17" s="39" t="s">
        <v>58</v>
      </c>
      <c r="B17" s="80">
        <f>_xlfn.STDEV.S('IT Sector Analysis'!B14:F14)</f>
        <v>5118.1063518190003</v>
      </c>
      <c r="C17" s="80">
        <f>_xlfn.STDEV.S('IT Sector Analysis'!C14:G14)</f>
        <v>5117.7342510369972</v>
      </c>
      <c r="D17" s="80">
        <f>_xlfn.STDEV.S('IT Sector Analysis'!D14:H14)</f>
        <v>5557.3977558574106</v>
      </c>
      <c r="E17" s="80">
        <f>_xlfn.STDEV.S('IT Sector Analysis'!E14:I14)</f>
        <v>5813.4527914231257</v>
      </c>
      <c r="F17" s="80">
        <f>_xlfn.STDEV.S('IT Sector Analysis'!F14:J14)</f>
        <v>6217.813372716163</v>
      </c>
      <c r="G17" s="80">
        <f>_xlfn.STDEV.S('IT Sector Analysis'!B19:F19)</f>
        <v>1068.3153408577475</v>
      </c>
    </row>
    <row r="18" spans="1:7" ht="15" customHeight="1" x14ac:dyDescent="0.25">
      <c r="A18" s="39" t="s">
        <v>59</v>
      </c>
      <c r="B18" s="80">
        <f>MIN('IT Sector Analysis'!B14:F14)</f>
        <v>7050.15</v>
      </c>
      <c r="C18" s="80">
        <f>MIN('IT Sector Analysis'!C14:G14)</f>
        <v>7050.15</v>
      </c>
      <c r="D18" s="80">
        <f>MIN('IT Sector Analysis'!D14:H14)</f>
        <v>7050.15</v>
      </c>
      <c r="E18" s="80">
        <f>MIN('IT Sector Analysis'!E14:I14)</f>
        <v>8439</v>
      </c>
      <c r="F18" s="80">
        <f>MIN('IT Sector Analysis'!F14:J14)</f>
        <v>10629.974</v>
      </c>
      <c r="G18" s="80">
        <f>MIN('IT Sector Analysis'!B19:F19)</f>
        <v>1822.884</v>
      </c>
    </row>
    <row r="19" spans="1:7" ht="15" customHeight="1" x14ac:dyDescent="0.25">
      <c r="A19" s="39" t="s">
        <v>60</v>
      </c>
      <c r="B19" s="80">
        <f>MAX('IT Sector Analysis'!B14:F14)</f>
        <v>19423.29</v>
      </c>
      <c r="C19" s="80">
        <f>MAX('IT Sector Analysis'!C14:G14)</f>
        <v>19423.29</v>
      </c>
      <c r="D19" s="80">
        <f>MAX('IT Sector Analysis'!D14:H14)</f>
        <v>19423.29</v>
      </c>
      <c r="E19" s="80">
        <f>MAX('IT Sector Analysis'!E14:I14)</f>
        <v>19423.29</v>
      </c>
      <c r="F19" s="80">
        <f>MAX('IT Sector Analysis'!F14:J14)</f>
        <v>19423.29</v>
      </c>
      <c r="G19" s="80">
        <f>MAX('IT Sector Analysis'!B19:F19)</f>
        <v>4391.572000000001</v>
      </c>
    </row>
    <row r="20" spans="1:7" ht="15" customHeight="1" x14ac:dyDescent="0.25">
      <c r="A20" s="39" t="s">
        <v>61</v>
      </c>
      <c r="B20" s="80">
        <f>MAX('IT Sector Analysis'!B14:F14)-MIN('IT Sector Analysis'!B14:F14)</f>
        <v>12373.140000000001</v>
      </c>
      <c r="C20" s="80">
        <f>MAX('IT Sector Analysis'!C14:G14)-MIN('IT Sector Analysis'!C14:G14)</f>
        <v>12373.140000000001</v>
      </c>
      <c r="D20" s="80">
        <f>MAX('IT Sector Analysis'!D14:H14)-MIN('IT Sector Analysis'!D14:H14)</f>
        <v>12373.140000000001</v>
      </c>
      <c r="E20" s="80">
        <f>MAX('IT Sector Analysis'!E14:I14)-MIN('IT Sector Analysis'!E14:I14)</f>
        <v>10984.29</v>
      </c>
      <c r="F20" s="80">
        <f>MAX('IT Sector Analysis'!F14:J14)-MIN('IT Sector Analysis'!F14:J14)</f>
        <v>8793.3160000000007</v>
      </c>
      <c r="G20" s="80">
        <f>MAX('IT Sector Analysis'!B19:F19)-MIN('IT Sector Analysis'!B19:F19)</f>
        <v>2568.688000000001</v>
      </c>
    </row>
    <row r="23" spans="1:7" x14ac:dyDescent="0.25">
      <c r="A23" s="88" t="s">
        <v>45</v>
      </c>
    </row>
    <row r="24" spans="1:7" ht="15.6" x14ac:dyDescent="0.3">
      <c r="A24" s="33" t="s">
        <v>54</v>
      </c>
      <c r="B24" s="33" t="s">
        <v>25</v>
      </c>
      <c r="C24" s="33" t="s">
        <v>26</v>
      </c>
      <c r="D24" s="33" t="s">
        <v>27</v>
      </c>
      <c r="E24" s="33" t="s">
        <v>28</v>
      </c>
      <c r="F24" s="33" t="s">
        <v>29</v>
      </c>
      <c r="G24" s="33" t="s">
        <v>55</v>
      </c>
    </row>
    <row r="25" spans="1:7" ht="15" x14ac:dyDescent="0.25">
      <c r="A25" s="39" t="s">
        <v>56</v>
      </c>
      <c r="B25" s="80">
        <f>AVERAGE('IT Sector Analysis'!B23:F23)</f>
        <v>5.01</v>
      </c>
      <c r="C25" s="80">
        <f>AVERAGE('IT Sector Analysis'!C23:G23)</f>
        <v>5.1340000000000003</v>
      </c>
      <c r="D25" s="80">
        <f>AVERAGE('IT Sector Analysis'!D23:H23)</f>
        <v>5.2799999999999994</v>
      </c>
      <c r="E25" s="80">
        <f>AVERAGE('IT Sector Analysis'!E23:I23)</f>
        <v>5.2933333333333339</v>
      </c>
      <c r="F25" s="80">
        <f>AVERAGE('IT Sector Analysis'!F23:J23)</f>
        <v>5.0299999999999994</v>
      </c>
      <c r="G25" s="80">
        <f>AVERAGE('IT Sector Analysis'!B28:F28)</f>
        <v>5.1783999999999999</v>
      </c>
    </row>
    <row r="26" spans="1:7" ht="15" x14ac:dyDescent="0.25">
      <c r="A26" s="39" t="s">
        <v>57</v>
      </c>
      <c r="B26" s="80">
        <f>MEDIAN('IT Sector Analysis'!B23:F23)</f>
        <v>5.05</v>
      </c>
      <c r="C26" s="80">
        <f>MEDIAN('IT Sector Analysis'!C23:G23)</f>
        <v>5.05</v>
      </c>
      <c r="D26" s="80">
        <f>MEDIAN('IT Sector Analysis'!D23:H23)</f>
        <v>5.1449999999999996</v>
      </c>
      <c r="E26" s="80">
        <f>MEDIAN('IT Sector Analysis'!E23:I23)</f>
        <v>5.05</v>
      </c>
      <c r="F26" s="80">
        <f>MEDIAN('IT Sector Analysis'!F23:J23)</f>
        <v>5.0299999999999994</v>
      </c>
      <c r="G26" s="80">
        <f>MEDIAN('IT Sector Analysis'!B28:F28)</f>
        <v>5.1179999999999994</v>
      </c>
    </row>
    <row r="27" spans="1:7" ht="15" x14ac:dyDescent="0.25">
      <c r="A27" s="39" t="s">
        <v>58</v>
      </c>
      <c r="B27" s="80">
        <f>_xlfn.STDEV.S('IT Sector Analysis'!B23:F23)</f>
        <v>0.57153302616733681</v>
      </c>
      <c r="C27" s="80">
        <f>_xlfn.STDEV.S('IT Sector Analysis'!C23:G23)</f>
        <v>0.45970642806034395</v>
      </c>
      <c r="D27" s="80">
        <f>_xlfn.STDEV.S('IT Sector Analysis'!D23:H23)</f>
        <v>0.37372003781797253</v>
      </c>
      <c r="E27" s="80">
        <f>_xlfn.STDEV.S('IT Sector Analysis'!E23:I23)</f>
        <v>0.4565449959569523</v>
      </c>
      <c r="F27" s="80">
        <f>_xlfn.STDEV.S('IT Sector Analysis'!F23:J23)</f>
        <v>2.8284271247461926E-2</v>
      </c>
      <c r="G27" s="80">
        <f>_xlfn.STDEV.S('IT Sector Analysis'!B28:F28)</f>
        <v>0.36143713146272066</v>
      </c>
    </row>
    <row r="28" spans="1:7" ht="15" x14ac:dyDescent="0.25">
      <c r="A28" s="39" t="s">
        <v>59</v>
      </c>
      <c r="B28" s="80">
        <f>MIN('IT Sector Analysis'!B23:F23)</f>
        <v>4.3899999999999997</v>
      </c>
      <c r="C28" s="80">
        <f>MIN('IT Sector Analysis'!C23:G23)</f>
        <v>4.55</v>
      </c>
      <c r="D28" s="80">
        <f>MIN('IT Sector Analysis'!D23:H23)</f>
        <v>5.01</v>
      </c>
      <c r="E28" s="80">
        <f>MIN('IT Sector Analysis'!E23:I23)</f>
        <v>5.01</v>
      </c>
      <c r="F28" s="80">
        <f>MIN('IT Sector Analysis'!F23:J23)</f>
        <v>5.01</v>
      </c>
      <c r="G28" s="80">
        <f>MIN('IT Sector Analysis'!B28:F28)</f>
        <v>4.7219999999999995</v>
      </c>
    </row>
    <row r="29" spans="1:7" ht="15" x14ac:dyDescent="0.25">
      <c r="A29" s="39" t="s">
        <v>60</v>
      </c>
      <c r="B29" s="80">
        <f>MAX('IT Sector Analysis'!B23:F23)</f>
        <v>5.82</v>
      </c>
      <c r="C29" s="80">
        <f>MAX('IT Sector Analysis'!C23:G23)</f>
        <v>5.82</v>
      </c>
      <c r="D29" s="80">
        <f>MAX('IT Sector Analysis'!D23:H23)</f>
        <v>5.82</v>
      </c>
      <c r="E29" s="80">
        <f>MAX('IT Sector Analysis'!E23:I23)</f>
        <v>5.82</v>
      </c>
      <c r="F29" s="80">
        <f>MAX('IT Sector Analysis'!F23:J23)</f>
        <v>5.05</v>
      </c>
      <c r="G29" s="80">
        <f>MAX('IT Sector Analysis'!B28:F28)</f>
        <v>5.6459999999999999</v>
      </c>
    </row>
    <row r="30" spans="1:7" ht="15" x14ac:dyDescent="0.25">
      <c r="A30" s="39" t="s">
        <v>61</v>
      </c>
      <c r="B30" s="80">
        <f>MAX('IT Sector Analysis'!B23:F23)-MIN('IT Sector Analysis'!B23:F23)</f>
        <v>1.4300000000000006</v>
      </c>
      <c r="C30" s="80">
        <f>MAX('IT Sector Analysis'!C23:G23)-MIN('IT Sector Analysis'!C23:G23)</f>
        <v>1.2700000000000005</v>
      </c>
      <c r="D30" s="80">
        <f>MAX('IT Sector Analysis'!D23:H23)-MIN('IT Sector Analysis'!D23:H23)</f>
        <v>0.8100000000000005</v>
      </c>
      <c r="E30" s="80">
        <f>MAX('IT Sector Analysis'!E23:I23)-MIN('IT Sector Analysis'!E23:I23)</f>
        <v>0.8100000000000005</v>
      </c>
      <c r="F30" s="80">
        <f>MAX('IT Sector Analysis'!F23:J23)-MIN('IT Sector Analysis'!F23:J23)</f>
        <v>4.0000000000000036E-2</v>
      </c>
      <c r="G30" s="80">
        <f>MAX('IT Sector Analysis'!B28:F28)-MIN('IT Sector Analysis'!B28:F28)</f>
        <v>0.92400000000000038</v>
      </c>
    </row>
    <row r="34" spans="1:7" ht="17.399999999999999" x14ac:dyDescent="0.3">
      <c r="A34" s="94" t="s">
        <v>62</v>
      </c>
      <c r="B34" s="94"/>
      <c r="C34" s="94"/>
      <c r="D34" s="94"/>
      <c r="E34" s="94"/>
      <c r="F34" s="94"/>
      <c r="G34" s="94"/>
    </row>
    <row r="36" spans="1:7" x14ac:dyDescent="0.25">
      <c r="A36" s="88" t="s">
        <v>43</v>
      </c>
    </row>
    <row r="37" spans="1:7" ht="15.6" x14ac:dyDescent="0.3">
      <c r="A37" s="33" t="s">
        <v>54</v>
      </c>
      <c r="B37" s="33" t="s">
        <v>34</v>
      </c>
      <c r="C37" s="33" t="s">
        <v>35</v>
      </c>
      <c r="D37" s="33" t="s">
        <v>36</v>
      </c>
      <c r="E37" s="33" t="s">
        <v>37</v>
      </c>
      <c r="F37" s="33" t="s">
        <v>38</v>
      </c>
      <c r="G37" s="33" t="s">
        <v>55</v>
      </c>
    </row>
    <row r="38" spans="1:7" ht="15" x14ac:dyDescent="0.25">
      <c r="A38" s="39" t="s">
        <v>56</v>
      </c>
      <c r="B38" s="80">
        <f>AVERAGE('Auto Sector Analysis'!B5:F5)</f>
        <v>-87.120718812769567</v>
      </c>
      <c r="C38" s="80">
        <f>AVERAGE('Auto Sector Analysis'!C5:G5)</f>
        <v>-95.786027343955453</v>
      </c>
      <c r="D38" s="80">
        <f>AVERAGE('Auto Sector Analysis'!D5:H5)</f>
        <v>-112.91273083906206</v>
      </c>
      <c r="E38" s="80">
        <f>AVERAGE('Auto Sector Analysis'!E5:I5)</f>
        <v>-145.94124126307332</v>
      </c>
      <c r="F38" s="80">
        <f>AVERAGE('Auto Sector Analysis'!F5:J5)</f>
        <v>-29.028851141921983</v>
      </c>
      <c r="G38" s="80">
        <f>AVERAGE('Auto Sector Analysis'!B10:F10)</f>
        <v>-12.796965808189725</v>
      </c>
    </row>
    <row r="39" spans="1:7" ht="15" x14ac:dyDescent="0.25">
      <c r="A39" s="39" t="s">
        <v>57</v>
      </c>
      <c r="B39" s="80">
        <f>MEDIAN('Auto Sector Analysis'!B5:F5)</f>
        <v>-27.279213363528999</v>
      </c>
      <c r="C39" s="80">
        <f>MEDIAN('Auto Sector Analysis'!C5:G5)</f>
        <v>-27.279213363528999</v>
      </c>
      <c r="D39" s="80">
        <f>MEDIAN('Auto Sector Analysis'!D5:H5)</f>
        <v>-50.473959189898935</v>
      </c>
      <c r="E39" s="80">
        <f>MEDIAN('Auto Sector Analysis'!E5:I5)</f>
        <v>-87.120718812769567</v>
      </c>
      <c r="F39" s="80">
        <f>MEDIAN('Auto Sector Analysis'!F5:J5)</f>
        <v>-29.028851141921983</v>
      </c>
      <c r="G39" s="80">
        <f>MEDIAN('Auto Sector Analysis'!B10:F10)</f>
        <v>5.1251958185748139</v>
      </c>
    </row>
    <row r="40" spans="1:7" ht="15" x14ac:dyDescent="0.25">
      <c r="A40" s="39" t="s">
        <v>58</v>
      </c>
      <c r="B40" s="80">
        <f>_xlfn.STDEV.S('Auto Sector Analysis'!B5:F5)</f>
        <v>165.80867632784609</v>
      </c>
      <c r="C40" s="80">
        <f>_xlfn.STDEV.S('Auto Sector Analysis'!C5:G5)</f>
        <v>164.10167688368574</v>
      </c>
      <c r="D40" s="80">
        <f>_xlfn.STDEV.S('Auto Sector Analysis'!D5:H5)</f>
        <v>184.25612786912001</v>
      </c>
      <c r="E40" s="80">
        <f>_xlfn.STDEV.S('Auto Sector Analysis'!E5:I5)</f>
        <v>210.66605322407338</v>
      </c>
      <c r="F40" s="80">
        <f>_xlfn.STDEV.S('Auto Sector Analysis'!F5:J5)</f>
        <v>82.154307123695801</v>
      </c>
      <c r="G40" s="80">
        <f>_xlfn.STDEV.S('Auto Sector Analysis'!B10:F10)</f>
        <v>34.889744931441747</v>
      </c>
    </row>
    <row r="41" spans="1:7" ht="15" x14ac:dyDescent="0.25">
      <c r="A41" s="39" t="s">
        <v>59</v>
      </c>
      <c r="B41" s="80">
        <f>MIN('Auto Sector Analysis'!B5:F5)</f>
        <v>-379.76602150537599</v>
      </c>
      <c r="C41" s="80">
        <f>MIN('Auto Sector Analysis'!C5:G5)</f>
        <v>-379.76602150537599</v>
      </c>
      <c r="D41" s="80">
        <f>MIN('Auto Sector Analysis'!D5:H5)</f>
        <v>-379.76602150537599</v>
      </c>
      <c r="E41" s="80">
        <f>MIN('Auto Sector Analysis'!E5:I5)</f>
        <v>-379.76602150537599</v>
      </c>
      <c r="F41" s="80">
        <f>MIN('Auto Sector Analysis'!F5:J5)</f>
        <v>-87.120718812769567</v>
      </c>
      <c r="G41" s="80">
        <f>MIN('Auto Sector Analysis'!B10:F10)</f>
        <v>-74.591192716532234</v>
      </c>
    </row>
    <row r="42" spans="1:7" ht="15" x14ac:dyDescent="0.25">
      <c r="A42" s="39" t="s">
        <v>60</v>
      </c>
      <c r="B42" s="80">
        <f>MAX('Auto Sector Analysis'!B5:F5)</f>
        <v>29.063016528925601</v>
      </c>
      <c r="C42" s="80">
        <f>MAX('Auto Sector Analysis'!C5:G5)</f>
        <v>29.063016528925601</v>
      </c>
      <c r="D42" s="80">
        <f>MAX('Auto Sector Analysis'!D5:H5)</f>
        <v>29.063016528925601</v>
      </c>
      <c r="E42" s="80">
        <f>MAX('Auto Sector Analysis'!E5:I5)</f>
        <v>29.063016528925601</v>
      </c>
      <c r="F42" s="80">
        <f>MAX('Auto Sector Analysis'!F5:J5)</f>
        <v>29.063016528925601</v>
      </c>
      <c r="G42" s="80">
        <f>MAX('Auto Sector Analysis'!B10:F10)</f>
        <v>5.7734431782997602</v>
      </c>
    </row>
    <row r="43" spans="1:7" ht="15" x14ac:dyDescent="0.25">
      <c r="A43" s="39" t="s">
        <v>61</v>
      </c>
      <c r="B43" s="80">
        <f>MAX('Auto Sector Analysis'!B5:F5)-MIN('Auto Sector Analysis'!B5:F5)</f>
        <v>408.82903803430156</v>
      </c>
      <c r="C43" s="80">
        <f>MAX('Auto Sector Analysis'!C5:G5)-MIN('Auto Sector Analysis'!C5:G5)</f>
        <v>408.82903803430156</v>
      </c>
      <c r="D43" s="80">
        <f>MAX('Auto Sector Analysis'!D5:H5)-MIN('Auto Sector Analysis'!D5:H5)</f>
        <v>408.82903803430156</v>
      </c>
      <c r="E43" s="80">
        <f>MAX('Auto Sector Analysis'!E5:I5)-MIN('Auto Sector Analysis'!E5:I5)</f>
        <v>408.82903803430156</v>
      </c>
      <c r="F43" s="80">
        <f>MAX('Auto Sector Analysis'!F5:J5)-MIN('Auto Sector Analysis'!F5:J5)</f>
        <v>116.18373534169517</v>
      </c>
      <c r="G43" s="80">
        <f>MAX('Auto Sector Analysis'!B10:F10)-MIN('Auto Sector Analysis'!B10:F10)</f>
        <v>80.364635894831991</v>
      </c>
    </row>
    <row r="46" spans="1:7" x14ac:dyDescent="0.25">
      <c r="A46" s="88" t="s">
        <v>44</v>
      </c>
    </row>
    <row r="47" spans="1:7" ht="15.6" x14ac:dyDescent="0.3">
      <c r="A47" s="33" t="s">
        <v>54</v>
      </c>
      <c r="B47" s="33" t="s">
        <v>34</v>
      </c>
      <c r="C47" s="33" t="s">
        <v>35</v>
      </c>
      <c r="D47" s="33" t="s">
        <v>36</v>
      </c>
      <c r="E47" s="33" t="s">
        <v>37</v>
      </c>
      <c r="F47" s="33" t="s">
        <v>38</v>
      </c>
      <c r="G47" s="33" t="s">
        <v>55</v>
      </c>
    </row>
    <row r="48" spans="1:7" ht="15" x14ac:dyDescent="0.25">
      <c r="A48" s="39" t="s">
        <v>56</v>
      </c>
      <c r="B48" s="80">
        <f>AVERAGE('Auto Sector Analysis'!B14:F14)</f>
        <v>27.867999999999995</v>
      </c>
      <c r="C48" s="80">
        <f>AVERAGE('Auto Sector Analysis'!C14:G14)</f>
        <v>27.511599999999998</v>
      </c>
      <c r="D48" s="80">
        <f>AVERAGE('Auto Sector Analysis'!D14:H14)</f>
        <v>25.837</v>
      </c>
      <c r="E48" s="80">
        <f>AVERAGE('Auto Sector Analysis'!E14:I14)</f>
        <v>25.305999999999997</v>
      </c>
      <c r="F48" s="80">
        <f>AVERAGE('Auto Sector Analysis'!F14:J14)</f>
        <v>25.463999999999999</v>
      </c>
      <c r="G48" s="80">
        <f>AVERAGE('Auto Sector Analysis'!B19:F19)</f>
        <v>19.337200000000003</v>
      </c>
    </row>
    <row r="49" spans="1:7" ht="15" x14ac:dyDescent="0.25">
      <c r="A49" s="39" t="s">
        <v>57</v>
      </c>
      <c r="B49" s="80">
        <f>MEDIAN('Auto Sector Analysis'!B14:F14)</f>
        <v>27.43</v>
      </c>
      <c r="C49" s="80">
        <f>MEDIAN('Auto Sector Analysis'!C14:G14)</f>
        <v>27.43</v>
      </c>
      <c r="D49" s="80">
        <f>MEDIAN('Auto Sector Analysis'!D14:H14)</f>
        <v>26.21</v>
      </c>
      <c r="E49" s="80">
        <f>MEDIAN('Auto Sector Analysis'!E14:I14)</f>
        <v>24.99</v>
      </c>
      <c r="F49" s="80">
        <f>MEDIAN('Auto Sector Analysis'!F14:J14)</f>
        <v>25.463999999999999</v>
      </c>
      <c r="G49" s="80">
        <f>MEDIAN('Auto Sector Analysis'!B19:F19)</f>
        <v>19.968</v>
      </c>
    </row>
    <row r="50" spans="1:7" ht="15" x14ac:dyDescent="0.25">
      <c r="A50" s="39" t="s">
        <v>58</v>
      </c>
      <c r="B50" s="80">
        <f>_xlfn.STDEV.S('Auto Sector Analysis'!B14:F14)</f>
        <v>4.3297829044884413</v>
      </c>
      <c r="C50" s="80">
        <f>_xlfn.STDEV.S('Auto Sector Analysis'!C14:G14)</f>
        <v>4.2183364967721628</v>
      </c>
      <c r="D50" s="80">
        <f>_xlfn.STDEV.S('Auto Sector Analysis'!D14:H14)</f>
        <v>2.2428960445519235</v>
      </c>
      <c r="E50" s="80">
        <f>_xlfn.STDEV.S('Auto Sector Analysis'!E14:I14)</f>
        <v>2.4195263999386305</v>
      </c>
      <c r="F50" s="80">
        <f>_xlfn.STDEV.S('Auto Sector Analysis'!F14:J14)</f>
        <v>3.399769403944918</v>
      </c>
      <c r="G50" s="80">
        <f>_xlfn.STDEV.S('Auto Sector Analysis'!B19:F19)</f>
        <v>2.3874545440698531</v>
      </c>
    </row>
    <row r="51" spans="1:7" ht="15" x14ac:dyDescent="0.25">
      <c r="A51" s="39" t="s">
        <v>59</v>
      </c>
      <c r="B51" s="80">
        <f>MIN('Auto Sector Analysis'!B14:F14)</f>
        <v>23.06</v>
      </c>
      <c r="C51" s="80">
        <f>MIN('Auto Sector Analysis'!C14:G14)</f>
        <v>23.06</v>
      </c>
      <c r="D51" s="80">
        <f>MIN('Auto Sector Analysis'!D14:H14)</f>
        <v>23.06</v>
      </c>
      <c r="E51" s="80">
        <f>MIN('Auto Sector Analysis'!E14:I14)</f>
        <v>23.06</v>
      </c>
      <c r="F51" s="80">
        <f>MIN('Auto Sector Analysis'!F14:J14)</f>
        <v>23.06</v>
      </c>
      <c r="G51" s="80">
        <f>MIN('Auto Sector Analysis'!B19:F19)</f>
        <v>15.754000000000001</v>
      </c>
    </row>
    <row r="52" spans="1:7" ht="15" x14ac:dyDescent="0.25">
      <c r="A52" s="39" t="s">
        <v>60</v>
      </c>
      <c r="B52" s="80">
        <f>MAX('Auto Sector Analysis'!B14:F14)</f>
        <v>34.21</v>
      </c>
      <c r="C52" s="80">
        <f>MAX('Auto Sector Analysis'!C14:G14)</f>
        <v>34.21</v>
      </c>
      <c r="D52" s="80">
        <f>MAX('Auto Sector Analysis'!D14:H14)</f>
        <v>27.867999999999995</v>
      </c>
      <c r="E52" s="80">
        <f>MAX('Auto Sector Analysis'!E14:I14)</f>
        <v>27.867999999999995</v>
      </c>
      <c r="F52" s="80">
        <f>MAX('Auto Sector Analysis'!F14:J14)</f>
        <v>27.867999999999995</v>
      </c>
      <c r="G52" s="80">
        <f>MAX('Auto Sector Analysis'!B19:F19)</f>
        <v>21.836000000000002</v>
      </c>
    </row>
    <row r="53" spans="1:7" ht="15" x14ac:dyDescent="0.25">
      <c r="A53" s="39" t="s">
        <v>61</v>
      </c>
      <c r="B53" s="80">
        <f>MAX('Auto Sector Analysis'!B14:F14)-MIN('Auto Sector Analysis'!B14:F14)</f>
        <v>11.150000000000002</v>
      </c>
      <c r="C53" s="80">
        <f>MAX('Auto Sector Analysis'!C14:G14)-MIN('Auto Sector Analysis'!C14:G14)</f>
        <v>11.150000000000002</v>
      </c>
      <c r="D53" s="80">
        <f>MAX('Auto Sector Analysis'!D14:H14)-MIN('Auto Sector Analysis'!D14:H14)</f>
        <v>4.8079999999999963</v>
      </c>
      <c r="E53" s="80">
        <f>MAX('Auto Sector Analysis'!E14:I14)-MIN('Auto Sector Analysis'!E14:I14)</f>
        <v>4.8079999999999963</v>
      </c>
      <c r="F53" s="80">
        <f>MAX('Auto Sector Analysis'!F14:J14)-MIN('Auto Sector Analysis'!F14:J14)</f>
        <v>4.8079999999999963</v>
      </c>
      <c r="G53" s="80">
        <f>MAX('Auto Sector Analysis'!B19:F19)-MIN('Auto Sector Analysis'!B19:F19)</f>
        <v>6.0820000000000007</v>
      </c>
    </row>
    <row r="56" spans="1:7" x14ac:dyDescent="0.25">
      <c r="A56" s="88" t="s">
        <v>45</v>
      </c>
    </row>
    <row r="57" spans="1:7" ht="15.6" x14ac:dyDescent="0.3">
      <c r="A57" s="33" t="s">
        <v>54</v>
      </c>
      <c r="B57" s="33" t="s">
        <v>34</v>
      </c>
      <c r="C57" s="33" t="s">
        <v>35</v>
      </c>
      <c r="D57" s="33" t="s">
        <v>36</v>
      </c>
      <c r="E57" s="33" t="s">
        <v>37</v>
      </c>
      <c r="F57" s="33" t="s">
        <v>38</v>
      </c>
      <c r="G57" s="33" t="s">
        <v>55</v>
      </c>
    </row>
    <row r="58" spans="1:7" ht="15" x14ac:dyDescent="0.25">
      <c r="A58" s="39" t="s">
        <v>56</v>
      </c>
      <c r="B58" s="80">
        <f>AVERAGE('Auto Sector Analysis'!B23:F23)</f>
        <v>40.75</v>
      </c>
      <c r="C58" s="80">
        <f>AVERAGE('Auto Sector Analysis'!C23:G23)</f>
        <v>43.445999999999998</v>
      </c>
      <c r="D58" s="80">
        <f>AVERAGE('Auto Sector Analysis'!D23:H23)</f>
        <v>45.384999999999998</v>
      </c>
      <c r="E58" s="80">
        <f>AVERAGE('Auto Sector Analysis'!E23:I23)</f>
        <v>45.803333333333335</v>
      </c>
      <c r="F58" s="80">
        <f>AVERAGE('Auto Sector Analysis'!F23:J23)</f>
        <v>42.004999999999995</v>
      </c>
      <c r="G58" s="80">
        <f>AVERAGE('Auto Sector Analysis'!B28:F28)</f>
        <v>25.558799999999998</v>
      </c>
    </row>
    <row r="59" spans="1:7" ht="15" x14ac:dyDescent="0.25">
      <c r="A59" s="39" t="s">
        <v>57</v>
      </c>
      <c r="B59" s="80">
        <f>MEDIAN('Auto Sector Analysis'!B23:F23)</f>
        <v>43.26</v>
      </c>
      <c r="C59" s="80">
        <f>MEDIAN('Auto Sector Analysis'!C23:G23)</f>
        <v>43.26</v>
      </c>
      <c r="D59" s="80">
        <f>MEDIAN('Auto Sector Analysis'!D23:H23)</f>
        <v>43.695</v>
      </c>
      <c r="E59" s="80">
        <f>MEDIAN('Auto Sector Analysis'!E23:I23)</f>
        <v>43.26</v>
      </c>
      <c r="F59" s="80">
        <f>MEDIAN('Auto Sector Analysis'!F23:J23)</f>
        <v>42.004999999999995</v>
      </c>
      <c r="G59" s="80">
        <f>MEDIAN('Auto Sector Analysis'!B28:F28)</f>
        <v>25.624000000000002</v>
      </c>
    </row>
    <row r="60" spans="1:7" ht="15" x14ac:dyDescent="0.25">
      <c r="A60" s="39" t="s">
        <v>58</v>
      </c>
      <c r="B60" s="80">
        <f>_xlfn.STDEV.S('Auto Sector Analysis'!B23:F23)</f>
        <v>9.8114856163580004</v>
      </c>
      <c r="C60" s="80">
        <f>_xlfn.STDEV.S('Auto Sector Analysis'!C23:G23)</f>
        <v>6.4615888139063991</v>
      </c>
      <c r="D60" s="80">
        <f>_xlfn.STDEV.S('Auto Sector Analysis'!D23:H23)</f>
        <v>5.5321514802109739</v>
      </c>
      <c r="E60" s="80">
        <f>_xlfn.STDEV.S('Auto Sector Analysis'!E23:I23)</f>
        <v>6.6975393491440736</v>
      </c>
      <c r="F60" s="80">
        <f>_xlfn.STDEV.S('Auto Sector Analysis'!F23:J23)</f>
        <v>1.7748380207782328</v>
      </c>
      <c r="G60" s="80">
        <f>_xlfn.STDEV.S('Auto Sector Analysis'!B28:F28)</f>
        <v>1.1954343143811783</v>
      </c>
    </row>
    <row r="61" spans="1:7" ht="15" x14ac:dyDescent="0.25">
      <c r="A61" s="39" t="s">
        <v>59</v>
      </c>
      <c r="B61" s="80">
        <f>MIN('Auto Sector Analysis'!B23:F23)</f>
        <v>27.27</v>
      </c>
      <c r="C61" s="80">
        <f>MIN('Auto Sector Analysis'!C23:G23)</f>
        <v>35.69</v>
      </c>
      <c r="D61" s="80">
        <f>MIN('Auto Sector Analysis'!D23:H23)</f>
        <v>40.75</v>
      </c>
      <c r="E61" s="80">
        <f>MIN('Auto Sector Analysis'!E23:I23)</f>
        <v>40.75</v>
      </c>
      <c r="F61" s="80">
        <f>MIN('Auto Sector Analysis'!F23:J23)</f>
        <v>40.75</v>
      </c>
      <c r="G61" s="80">
        <f>MIN('Auto Sector Analysis'!B28:F28)</f>
        <v>23.61</v>
      </c>
    </row>
    <row r="62" spans="1:7" ht="15" x14ac:dyDescent="0.25">
      <c r="A62" s="39" t="s">
        <v>60</v>
      </c>
      <c r="B62" s="80">
        <f>MAX('Auto Sector Analysis'!B23:F23)</f>
        <v>53.4</v>
      </c>
      <c r="C62" s="80">
        <f>MAX('Auto Sector Analysis'!C23:G23)</f>
        <v>53.4</v>
      </c>
      <c r="D62" s="80">
        <f>MAX('Auto Sector Analysis'!D23:H23)</f>
        <v>53.4</v>
      </c>
      <c r="E62" s="80">
        <f>MAX('Auto Sector Analysis'!E23:I23)</f>
        <v>53.4</v>
      </c>
      <c r="F62" s="80">
        <f>MAX('Auto Sector Analysis'!F23:J23)</f>
        <v>43.26</v>
      </c>
      <c r="G62" s="80">
        <f>MAX('Auto Sector Analysis'!B28:F28)</f>
        <v>26.595999999999997</v>
      </c>
    </row>
    <row r="63" spans="1:7" ht="15" x14ac:dyDescent="0.25">
      <c r="A63" s="39" t="s">
        <v>61</v>
      </c>
      <c r="B63" s="80">
        <f>MAX('Auto Sector Analysis'!B23:F23)-MIN('Auto Sector Analysis'!B23:F23)</f>
        <v>26.13</v>
      </c>
      <c r="C63" s="80">
        <f>MAX('Auto Sector Analysis'!C23:G23)-MIN('Auto Sector Analysis'!C23:G23)</f>
        <v>17.71</v>
      </c>
      <c r="D63" s="80">
        <f>MAX('Auto Sector Analysis'!D23:H23)-MIN('Auto Sector Analysis'!D23:H23)</f>
        <v>12.649999999999999</v>
      </c>
      <c r="E63" s="80">
        <f>MAX('Auto Sector Analysis'!E23:I23)-MIN('Auto Sector Analysis'!E23:I23)</f>
        <v>12.649999999999999</v>
      </c>
      <c r="F63" s="80">
        <f>MAX('Auto Sector Analysis'!F23:J23)-MIN('Auto Sector Analysis'!F23:J23)</f>
        <v>2.509999999999998</v>
      </c>
      <c r="G63" s="80">
        <f>MAX('Auto Sector Analysis'!B28:F28)-MIN('Auto Sector Analysis'!B28:F28)</f>
        <v>2.9859999999999971</v>
      </c>
    </row>
  </sheetData>
  <mergeCells count="2">
    <mergeCell ref="A1:G1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IT  Raw Data</vt:lpstr>
      <vt:lpstr>Automobile Raw Data</vt:lpstr>
      <vt:lpstr>IT Sector Analysis</vt:lpstr>
      <vt:lpstr>Auto Sector Analysis</vt:lpstr>
      <vt:lpstr>Sector Comparison</vt:lpstr>
      <vt:lpstr>Statistical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Mansoor Makandar</cp:lastModifiedBy>
  <cp:revision>0</cp:revision>
  <dcterms:created xsi:type="dcterms:W3CDTF">2026-02-01T15:44:29Z</dcterms:created>
  <dcterms:modified xsi:type="dcterms:W3CDTF">2026-02-01T18:06:49Z</dcterms:modified>
  <dc:language>en-US</dc:language>
</cp:coreProperties>
</file>